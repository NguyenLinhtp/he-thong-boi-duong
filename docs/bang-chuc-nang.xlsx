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ảng phân tích chức năng" sheetId="1" state="visible" r:id="rId3"/>
    <sheet name="Tổng hợp" sheetId="2" state="visible" r:id="rId4"/>
    <sheet name="Tham khảo giao diện" sheetId="3" state="visible" r:id="rId5"/>
  </sheets>
  <definedNames>
    <definedName function="false" hidden="false" localSheetId="0" name="_xlnm.Print_Titles" vbProcedure="false">'Bảng phân tích chức năng'!$1:$1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<sst xmlns="http://schemas.openxmlformats.org/spreadsheetml/2006/main" count="755" uniqueCount="495">
  <si>
    <t xml:space="preserve">Mã CN</t>
  </si>
  <si>
    <t xml:space="preserve">Nhóm chức năng</t>
  </si>
  <si>
    <t xml:space="preserve">Tên chức năng</t>
  </si>
  <si>
    <t xml:space="preserve">Mô tả chi tiết</t>
  </si>
  <si>
    <t xml:space="preserve">Vai trò sử dụng (Actor)</t>
  </si>
  <si>
    <t xml:space="preserve">Dữ liệu đầu vào (Input)</t>
  </si>
  <si>
    <t xml:space="preserve">Dữ liệu đầu ra (Output)</t>
  </si>
  <si>
    <t xml:space="preserve">Quy tắc nghiệp vụ / Điều kiện tiên quyết</t>
  </si>
  <si>
    <t xml:space="preserve">Độ ưu tiên</t>
  </si>
  <si>
    <t xml:space="preserve">Giai đoạn triển khai</t>
  </si>
  <si>
    <t xml:space="preserve">DM-01</t>
  </si>
  <si>
    <t xml:space="preserve">1. Quản trị danh mục dùng chung</t>
  </si>
  <si>
    <t xml:space="preserve">Quản lý danh mục đơn vị/phòng ban</t>
  </si>
  <si>
    <t xml:space="preserve">Thêm/sửa/xóa/tra cứu danh mục đơn vị, phòng ban trực thuộc trường phục vụ gán học viên, giảng viên theo đơn vị công tác</t>
  </si>
  <si>
    <t xml:space="preserve">Quản trị hệ thống</t>
  </si>
  <si>
    <t xml:space="preserve">Tên đơn vị, mã đơn vị, đơn vị cấp trên</t>
  </si>
  <si>
    <t xml:space="preserve">Danh sách đơn vị đã cập nhật</t>
  </si>
  <si>
    <t xml:space="preserve">Mã đơn vị không trùng lặp; không xóa được đơn vị đang được tham chiếu bởi học viên/giảng viên</t>
  </si>
  <si>
    <t xml:space="preserve">Cao</t>
  </si>
  <si>
    <t xml:space="preserve">Đợt 1</t>
  </si>
  <si>
    <t xml:space="preserve">DM-02</t>
  </si>
  <si>
    <t xml:space="preserve">Quản lý danh mục chức danh, học hàm/học vị</t>
  </si>
  <si>
    <t xml:space="preserve">Thêm/sửa/xóa danh mục chức danh nghề nghiệp, học hàm, học vị của giảng viên và học viên</t>
  </si>
  <si>
    <t xml:space="preserve">Tên chức danh/học hàm/học vị, mã</t>
  </si>
  <si>
    <t xml:space="preserve">Danh mục chức danh/học hàm/học vị</t>
  </si>
  <si>
    <t xml:space="preserve">Không xóa được giá trị đang được gán cho giảng viên/học viên</t>
  </si>
  <si>
    <t xml:space="preserve">Trung bình</t>
  </si>
  <si>
    <t xml:space="preserve">DM-03</t>
  </si>
  <si>
    <t xml:space="preserve">Quản lý danh mục loại hình bồi dưỡng</t>
  </si>
  <si>
    <t xml:space="preserve">Thêm/sửa/xóa loại hình bồi dưỡng (thường xuyên, theo tiêu chuẩn chức danh nghề nghiệp, chuyên đề...)</t>
  </si>
  <si>
    <t xml:space="preserve">Quản trị hệ thống/Cán bộ quản lý đào tạo</t>
  </si>
  <si>
    <t xml:space="preserve">Tên loại hình, mã loại hình</t>
  </si>
  <si>
    <t xml:space="preserve">Danh mục loại hình bồi dưỡng</t>
  </si>
  <si>
    <t xml:space="preserve">Mỗi chương trình bồi dưỡng phải gắn với đúng 1 loại hình</t>
  </si>
  <si>
    <t xml:space="preserve">DM-04</t>
  </si>
  <si>
    <t xml:space="preserve">Quản lý danh mục phòng học/địa điểm</t>
  </si>
  <si>
    <t xml:space="preserve">Thêm/sửa/xóa danh mục phòng học, cơ sở, sức chứa phục vụ bố trí khóa học trực tiếp</t>
  </si>
  <si>
    <t xml:space="preserve">Tên phòng, cơ sở, sức chứa</t>
  </si>
  <si>
    <t xml:space="preserve">Danh mục phòng học</t>
  </si>
  <si>
    <t xml:space="preserve">Không xếp 2 khóa cùng phòng trùng khung giờ</t>
  </si>
  <si>
    <t xml:space="preserve">DM-05</t>
  </si>
  <si>
    <t xml:space="preserve">Quản lý danh mục đợt/kỳ tuyển sinh</t>
  </si>
  <si>
    <t xml:space="preserve">Thêm/sửa/xóa các đợt mở khóa bồi dưỡng theo năm học/học kỳ</t>
  </si>
  <si>
    <t xml:space="preserve">Tên đợt, thời gian bắt đầu – kết thúc</t>
  </si>
  <si>
    <t xml:space="preserve">Danh mục đợt/kỳ</t>
  </si>
  <si>
    <t xml:space="preserve">Thời gian các đợt không chồng lấn bất hợp lý</t>
  </si>
  <si>
    <t xml:space="preserve">Thấp</t>
  </si>
  <si>
    <t xml:space="preserve">CT-01</t>
  </si>
  <si>
    <t xml:space="preserve">2. Quản lý chương trình bồi dưỡng</t>
  </si>
  <si>
    <t xml:space="preserve">Tạo mới chương trình bồi dưỡng</t>
  </si>
  <si>
    <t xml:space="preserve">Khởi tạo chương trình với mục tiêu, đối tượng áp dụng, tổng thời lượng, loại hình bồi dưỡng</t>
  </si>
  <si>
    <t xml:space="preserve">Cán bộ quản lý đào tạo</t>
  </si>
  <si>
    <t xml:space="preserve">Tên chương trình, mục tiêu, đối tượng, thời lượng, loại hình</t>
  </si>
  <si>
    <t xml:space="preserve">Chương trình ở trạng thái "Dự thảo"</t>
  </si>
  <si>
    <t xml:space="preserve">Mã chương trình sinh tự động, không trùng</t>
  </si>
  <si>
    <t xml:space="preserve">CT-02</t>
  </si>
  <si>
    <t xml:space="preserve">Quản lý học phần/chuyên đề trong chương trình</t>
  </si>
  <si>
    <t xml:space="preserve">Thêm/sửa/xóa/sắp xếp các học phần thuộc 1 chương trình, gán số tiết</t>
  </si>
  <si>
    <t xml:space="preserve">Cán bộ quản lý đào tạo/Tổ chuyên môn</t>
  </si>
  <si>
    <t xml:space="preserve">Tên học phần, số tiết, thứ tự</t>
  </si>
  <si>
    <t xml:space="preserve">Danh sách học phần của chương trình</t>
  </si>
  <si>
    <t xml:space="preserve">Tổng số tiết học phần phải khớp tổng thời lượng chương trình</t>
  </si>
  <si>
    <t xml:space="preserve">CT-03</t>
  </si>
  <si>
    <t xml:space="preserve">Trình duyệt và phê duyệt chương trình</t>
  </si>
  <si>
    <t xml:space="preserve">Chuyển chương trình qua các bước thẩm định – phê duyệt theo workflow điện tử</t>
  </si>
  <si>
    <t xml:space="preserve">Cán bộ quản lý đào tạo → Hội đồng khoa học → Ban giám hiệu</t>
  </si>
  <si>
    <t xml:space="preserve">Chương trình "Dự thảo", ý kiến thẩm định</t>
  </si>
  <si>
    <t xml:space="preserve">Chương trình "Đã ban hành" kèm số quyết định</t>
  </si>
  <si>
    <t xml:space="preserve">Chỉ chương trình "Đã ban hành" mới được dùng để mở khóa</t>
  </si>
  <si>
    <t xml:space="preserve">CT-04</t>
  </si>
  <si>
    <t xml:space="preserve">Cập nhật/chỉnh sửa chương trình đã ban hành</t>
  </si>
  <si>
    <t xml:space="preserve">Sửa đổi nội dung chương trình khi có thay đổi, lưu lại thành phiên bản mới</t>
  </si>
  <si>
    <t xml:space="preserve">Nội dung chỉnh sửa</t>
  </si>
  <si>
    <t xml:space="preserve">Phiên bản chương trình mới, lưu lịch sử phiên bản cũ</t>
  </si>
  <si>
    <t xml:space="preserve">Chương trình đang có khóa hoạt động chỉ được sửa các trường không ảnh hưởng khóa đang chạy</t>
  </si>
  <si>
    <t xml:space="preserve">CT-05</t>
  </si>
  <si>
    <t xml:space="preserve">Tra cứu, tìm kiếm chương trình</t>
  </si>
  <si>
    <t xml:space="preserve">Tìm kiếm chương trình theo tên, mã, loại hình, trạng thái</t>
  </si>
  <si>
    <t xml:space="preserve">Tất cả người dùng nội bộ</t>
  </si>
  <si>
    <t xml:space="preserve">Từ khóa/bộ lọc tìm kiếm</t>
  </si>
  <si>
    <t xml:space="preserve">Danh sách chương trình phù hợp</t>
  </si>
  <si>
    <t xml:space="preserve">Không giới hạn</t>
  </si>
  <si>
    <t xml:space="preserve">CT-06</t>
  </si>
  <si>
    <t xml:space="preserve">Ngừng hiệu lực/lưu trữ chương trình</t>
  </si>
  <si>
    <t xml:space="preserve">Chuyển chương trình hết hiệu lực sang trạng thái lưu trữ, không dùng để mở khóa mới</t>
  </si>
  <si>
    <t xml:space="preserve">Lý do ngừng hiệu lực</t>
  </si>
  <si>
    <t xml:space="preserve">Chương trình ở trạng thái "Lưu trữ"</t>
  </si>
  <si>
    <t xml:space="preserve">Chương trình đang có khóa chưa kết thúc không được lưu trữ</t>
  </si>
  <si>
    <t xml:space="preserve">Đợt 2</t>
  </si>
  <si>
    <t xml:space="preserve">CT-07</t>
  </si>
  <si>
    <t xml:space="preserve">Thiết lập phương thức tiếp cận đăng ký học viên</t>
  </si>
  <si>
    <t xml:space="preserve">Khai báo phương thức đăng ký áp dụng cho chương trình: (1) học viên đăng ký trực tuyến kèm in đơn nộp bản giấy về trường; (2) nhà trường import danh sách học viên có sẵn để học viên tự xác nhận bằng CCCD/mã số/tài khoản; (3) học viên chỉ đăng ký dự thi, không qua giai đoạn học; (4) tuyển sinh qua đơn vị liên kết, gồm 2 hình thức: (4a) đơn vị liên kết dùng tài khoản được cấp đăng ký thay học viên, hoặc (4b) học viên tự đăng ký trực tuyến và chọn đơn vị liên kết sẽ thu hồ sơ giấy</t>
  </si>
  <si>
    <t xml:space="preserve">Lựa chọn phương thức đăng ký, cấu hình liên quan (đơn vị liên kết nếu chọn Phương thức 4)</t>
  </si>
  <si>
    <t xml:space="preserve">Chương trình được gắn 1 phương thức đăng ký, áp dụng cho mọi khóa mở theo chương trình</t>
  </si>
  <si>
    <t xml:space="preserve">Mỗi chương trình chỉ áp dụng đúng 1 trong 4 phương thức đăng ký; khóa mở từ chương trình kế thừa phương thức của chương trình; Phương thức 4 bắt buộc phải có hợp đồng liên kết còn hiệu lực mới cho phép đăng ký</t>
  </si>
  <si>
    <t xml:space="preserve">KH-01</t>
  </si>
  <si>
    <t xml:space="preserve">3. Quản lý khóa bồi dưỡng</t>
  </si>
  <si>
    <t xml:space="preserve">Khởi tạo khóa bồi dưỡng</t>
  </si>
  <si>
    <t xml:space="preserve">Tạo khóa mới từ 1 chương trình đã ban hành: mã khóa, thời gian khai giảng – bế giảng, sĩ số tối đa, mức học phí; khóa kế thừa phương thức đăng ký đã khai báo ở chương trình</t>
  </si>
  <si>
    <t xml:space="preserve">Chương trình áp dụng, thời gian, sĩ số, học phí</t>
  </si>
  <si>
    <t xml:space="preserve">Khóa ở trạng thái "Chuẩn bị mở"</t>
  </si>
  <si>
    <t xml:space="preserve">Mã khóa sinh tự động; chỉ khởi tạo từ chương trình "Đã ban hành"</t>
  </si>
  <si>
    <t xml:space="preserve">KH-02</t>
  </si>
  <si>
    <t xml:space="preserve">Phân công giảng viên phụ trách học phần</t>
  </si>
  <si>
    <t xml:space="preserve">Gán giảng viên cho từng học phần trong khóa</t>
  </si>
  <si>
    <t xml:space="preserve">Trưởng đơn vị chuyên môn/Cán bộ quản lý đào tạo</t>
  </si>
  <si>
    <t xml:space="preserve">Danh sách học phần, danh sách giảng viên</t>
  </si>
  <si>
    <t xml:space="preserve">Bảng phân công giảng viên theo khóa</t>
  </si>
  <si>
    <t xml:space="preserve">Một giảng viên không được phân công trùng lịch ở 2 khóa</t>
  </si>
  <si>
    <t xml:space="preserve">KH-03</t>
  </si>
  <si>
    <t xml:space="preserve">Thiết lập thời khóa biểu</t>
  </si>
  <si>
    <t xml:space="preserve">Xếp lịch giảng dạy chi tiết theo học phần, buổi học, khung giờ</t>
  </si>
  <si>
    <t xml:space="preserve">Học phần, giảng viên, ngày/giờ, phòng học hoặc hình thức trực tuyến</t>
  </si>
  <si>
    <t xml:space="preserve">Thời khóa biểu khóa học</t>
  </si>
  <si>
    <t xml:space="preserve">Không trùng lịch giảng viên, không trùng phòng học</t>
  </si>
  <si>
    <t xml:space="preserve">KH-04</t>
  </si>
  <si>
    <t xml:space="preserve">Thiết lập hình thức giảng dạy</t>
  </si>
  <si>
    <t xml:space="preserve">Khóa trực tiếp: gán phòng học/địa điểm giảng dạy. Khóa trực tuyến: hệ thống gọi API Zoom/Microsoft Teams để tự động tạo và lưu link phòng học cho từng buổi</t>
  </si>
  <si>
    <t xml:space="preserve">Hình thức học (trực tiếp/trực tuyến), phòng học hoặc tài khoản Zoom/MS Teams</t>
  </si>
  <si>
    <t xml:space="preserve">Địa điểm học hoặc link phòng học trực tuyến gắn với từng buổi học</t>
  </si>
  <si>
    <t xml:space="preserve">Khóa trực tuyến bắt buộc phải có link trước ngày khai giảng</t>
  </si>
  <si>
    <t xml:space="preserve">KH-05</t>
  </si>
  <si>
    <t xml:space="preserve">Quản lý trạng thái và sĩ số khóa</t>
  </si>
  <si>
    <t xml:space="preserve">Theo dõi, cập nhật trạng thái khóa (chuẩn bị mở/đang tuyển sinh/đang học/đã kết thúc/hủy) và sĩ số hiện tại so với sĩ số tối đa</t>
  </si>
  <si>
    <t xml:space="preserve">Sự kiện thay đổi trạng thái</t>
  </si>
  <si>
    <t xml:space="preserve">Trạng thái khóa cập nhật theo thời gian thực</t>
  </si>
  <si>
    <t xml:space="preserve">Không nhận đăng ký khi sĩ số đã đủ hoặc khóa đã đóng đăng ký</t>
  </si>
  <si>
    <t xml:space="preserve">KH-06</t>
  </si>
  <si>
    <t xml:space="preserve">Thông báo tuyển sinh/mở khóa</t>
  </si>
  <si>
    <t xml:space="preserve">Sinh và gửi thông báo mở khóa kèm mức học phí, thời hạn đăng ký qua website/email; đồng thời sinh đường link đăng ký công khai của khóa (dạng https://dangky.ued.udn.vn/khoa/{mã khóa}) để cán bộ dán vào bài đăng quảng bá trên website crdc.ued.udn.vn</t>
  </si>
  <si>
    <t xml:space="preserve">Phòng/Trung tâm bồi dưỡng</t>
  </si>
  <si>
    <t xml:space="preserve">Nội dung thông báo, kênh gửi</t>
  </si>
  <si>
    <t xml:space="preserve">Thông báo tuyển sinh đã phát hành; link đăng ký công khai của khóa</t>
  </si>
  <si>
    <t xml:space="preserve">Chỉ gửi/sinh link khi khóa ở trạng thái "Đang tuyển sinh"; link tự vô hiệu khi khóa đóng đăng ký hoặc đã đủ sĩ số</t>
  </si>
  <si>
    <t xml:space="preserve">HV-01</t>
  </si>
  <si>
    <t xml:space="preserve">4. Tuyển sinh &amp; Quản lý học viên</t>
  </si>
  <si>
    <t xml:space="preserve">Đăng ký khóa học trực tuyến kèm in đơn đăng ký (Phương thức 1)</t>
  </si>
  <si>
    <t xml:space="preserve">Học viên tự đăng ký trực tuyến vào khóa; hệ thống cho phép xuất/in đơn đăng ký (PDF) để học viên ký và nộp bản giấy về trường</t>
  </si>
  <si>
    <t xml:space="preserve">Học viên</t>
  </si>
  <si>
    <t xml:space="preserve">Thông tin cá nhân, khóa đăng ký</t>
  </si>
  <si>
    <t xml:space="preserve">Đơn đăng ký (PDF); hồ sơ ở trạng thái "Đã đăng ký online – chờ nộp bản giấy"</t>
  </si>
  <si>
    <t xml:space="preserve">Chỉ áp dụng cho chương trình cấu hình Phương thức 1; không đăng ký trùng vào 1 khóa quá 1 lần</t>
  </si>
  <si>
    <t xml:space="preserve">HV-02</t>
  </si>
  <si>
    <t xml:space="preserve">Xác nhận đã nhận hồ sơ giấy (Phương thức 1)</t>
  </si>
  <si>
    <t xml:space="preserve">Cán bộ quản lý đào tạo đối chiếu và xác nhận đã nhận đơn đăng ký bản giấy tương ứng với hồ sơ đăng ký online</t>
  </si>
  <si>
    <t xml:space="preserve">Đơn giấy đã nộp, mã hồ sơ đăng ký online</t>
  </si>
  <si>
    <t xml:space="preserve">Hồ sơ chuyển trạng thái "Đã nộp hồ sơ giấy – chờ duyệt"</t>
  </si>
  <si>
    <t xml:space="preserve">Hồ sơ không được xác nhận nộp giấy trong thời hạn quy định sẽ tự động hủy đăng ký</t>
  </si>
  <si>
    <t xml:space="preserve">HV-03</t>
  </si>
  <si>
    <t xml:space="preserve">Import danh sách học viên có sẵn (Phương thức 2)</t>
  </si>
  <si>
    <t xml:space="preserve">Cán bộ quản lý đào tạo tải lên file Excel/CSV danh sách học viên do đơn vị cử đi học cung cấp, nạp vào hệ thống trước khi mở đăng ký</t>
  </si>
  <si>
    <t xml:space="preserve">File danh sách (họ tên, CCCD/mã số, đơn vị công tác...)</t>
  </si>
  <si>
    <t xml:space="preserve">Danh sách học viên dự kiến gắn với khóa, kèm thông tin định danh để tự xác nhận</t>
  </si>
  <si>
    <t xml:space="preserve">Không được trùng CCCD/mã số trong cùng 1 lần import; dòng dữ liệu lỗi được báo chi tiết để chỉnh sửa</t>
  </si>
  <si>
    <t xml:space="preserve">HV-04</t>
  </si>
  <si>
    <t xml:space="preserve">Học viên tự xác nhận tham gia bằng CCCD/mã số/tài khoản (Phương thức 2)</t>
  </si>
  <si>
    <t xml:space="preserve">Học viên đăng nhập bằng CCCD, mã số hoặc tài khoản được cấp để xác nhận tham gia khóa đã được import sẵn, bổ sung thông tin còn thiếu</t>
  </si>
  <si>
    <t xml:space="preserve">CCCD/mã số/tài khoản, thông tin bổ sung</t>
  </si>
  <si>
    <t xml:space="preserve">Trạng thái "Đã xác nhận tham gia"</t>
  </si>
  <si>
    <t xml:space="preserve">Chỉ xác nhận được khi CCCD/mã số khớp với dữ liệu đã import; không xác nhận trùng lần 2</t>
  </si>
  <si>
    <t xml:space="preserve">HV-05</t>
  </si>
  <si>
    <t xml:space="preserve">Đăng ký dự thi, không qua học (Phương thức 3)</t>
  </si>
  <si>
    <t xml:space="preserve">Học viên đăng ký tham gia kỳ thi/đợt thi của khóa mà không qua giai đoạn học tập</t>
  </si>
  <si>
    <t xml:space="preserve">Thông tin học viên, đợt thi đăng ký</t>
  </si>
  <si>
    <t xml:space="preserve">Danh sách thí sinh dự thi</t>
  </si>
  <si>
    <t xml:space="preserve">Khóa thuộc Phương thức 3 không áp dụng điểm danh/giảng dạy (module Quản lý giảng dạy)</t>
  </si>
  <si>
    <t xml:space="preserve">HV-06</t>
  </si>
  <si>
    <t xml:space="preserve">Kiểm tra, thẩm định hồ sơ đăng ký</t>
  </si>
  <si>
    <t xml:space="preserve">Rà soát tính hợp lệ của hồ sơ theo điều kiện đầu vào của chương trình, áp dụng chung cho cả 3 phương thức đăng ký</t>
  </si>
  <si>
    <t xml:space="preserve">Hồ sơ đăng ký/hồ sơ giấy/hồ sơ import, điều kiện đầu vào của chương trình</t>
  </si>
  <si>
    <t xml:space="preserve">Hồ sơ được đánh dấu hợp lệ/không hợp lệ</t>
  </si>
  <si>
    <t xml:space="preserve">Hồ sơ thiếu minh chứng bắt buộc bị từ chối tự động</t>
  </si>
  <si>
    <t xml:space="preserve">HV-07</t>
  </si>
  <si>
    <t xml:space="preserve">Xét duyệt danh sách chính thức</t>
  </si>
  <si>
    <t xml:space="preserve">Lập và phê duyệt danh sách học viên/thí sinh chính thức của khóa</t>
  </si>
  <si>
    <t xml:space="preserve">Lãnh đạo đơn vị</t>
  </si>
  <si>
    <t xml:space="preserve">Danh sách hồ sơ hợp lệ</t>
  </si>
  <si>
    <t xml:space="preserve">Danh sách chính thức, sĩ số khóa cập nhật</t>
  </si>
  <si>
    <t xml:space="preserve">Số lượng chính thức không vượt sĩ số tối đa</t>
  </si>
  <si>
    <t xml:space="preserve">HV-08</t>
  </si>
  <si>
    <t xml:space="preserve">Quản lý hồ sơ học viên</t>
  </si>
  <si>
    <t xml:space="preserve">Lưu trữ, cập nhật thông tin cá nhân, lịch sử các khóa/kỳ thi đã hoặc đang tham gia của học viên</t>
  </si>
  <si>
    <t xml:space="preserve">Cán bộ quản lý đào tạo/Học viên (tự cập nhật thông tin cá nhân)</t>
  </si>
  <si>
    <t xml:space="preserve">Thông tin cá nhân, liên hệ</t>
  </si>
  <si>
    <t xml:space="preserve">Hồ sơ học viên với mã học viên duy nhất toàn hệ thống</t>
  </si>
  <si>
    <t xml:space="preserve">Một học viên chỉ có 1 mã duy nhất dù tham gia nhiều khóa qua các phương thức khác nhau</t>
  </si>
  <si>
    <t xml:space="preserve">HV-09</t>
  </si>
  <si>
    <t xml:space="preserve">Quản lý danh sách học viên theo khóa</t>
  </si>
  <si>
    <t xml:space="preserve">Thêm/xóa/chuyển học viên giữa các khóa, ghi nhận thôi học</t>
  </si>
  <si>
    <t xml:space="preserve">Yêu cầu thay đổi, lý do</t>
  </si>
  <si>
    <t xml:space="preserve">Danh sách học viên khóa cập nhật, lịch sử thay đổi</t>
  </si>
  <si>
    <t xml:space="preserve">Học viên đã có điểm/chứng chỉ không được xóa khỏi khóa</t>
  </si>
  <si>
    <t xml:space="preserve">HV-10</t>
  </si>
  <si>
    <t xml:space="preserve">Gửi thông báo tự động cho học viên</t>
  </si>
  <si>
    <t xml:space="preserve">Gửi email/thông báo hệ thống khi có sự kiện: trúng tuyển, nhắc nộp hồ sơ giấy, lịch học/lịch thi, nhắc học phí, kết quả, cấp chứng chỉ</t>
  </si>
  <si>
    <t xml:space="preserve">Hệ thống (tự động)</t>
  </si>
  <si>
    <t xml:space="preserve">Sự kiện kích hoạt, mẫu thông báo</t>
  </si>
  <si>
    <t xml:space="preserve">Email/thông báo đã gửi tới học viên</t>
  </si>
  <si>
    <t xml:space="preserve">Gửi trong vòng 24 giờ kể từ khi sự kiện phát sinh</t>
  </si>
  <si>
    <t xml:space="preserve">HV-11</t>
  </si>
  <si>
    <t xml:space="preserve">Đăng ký học viên thay mặt đơn vị liên kết (Phương thức 4a)</t>
  </si>
  <si>
    <t xml:space="preserve">Cán bộ đơn vị liên kết dùng tài khoản được cấp đăng ký học viên vào khóa, hệ thống cho phép xuất/in đơn đăng ký để học viên ký và nộp về đơn vị liên kết</t>
  </si>
  <si>
    <t xml:space="preserve">Cán bộ đơn vị liên kết</t>
  </si>
  <si>
    <t xml:space="preserve">Thông tin học viên, khóa đăng ký, hợp đồng liên kết áp dụng</t>
  </si>
  <si>
    <t xml:space="preserve">Đơn đăng ký (PDF); hồ sơ gắn với hợp đồng liên kết, trạng thái "Chờ đơn vị liên kết thu hồ sơ giấy"</t>
  </si>
  <si>
    <t xml:space="preserve">Chỉ thực hiện được trên các khóa đã có hợp đồng liên kết còn hiệu lực với đơn vị của tài khoản đăng nhập</t>
  </si>
  <si>
    <t xml:space="preserve">HV-12</t>
  </si>
  <si>
    <t xml:space="preserve">Học viên tự đăng ký và chọn đơn vị liên kết thu hồ sơ (Phương thức 4b)</t>
  </si>
  <si>
    <t xml:space="preserve">Học viên tự đăng ký trực tuyến vào khóa như Phương thức 1, đồng thời chọn đơn vị liên kết mà mình sẽ nộp bản giấy; đơn đăng ký in ra hiển thị tên/địa chỉ đơn vị liên kết thu hồ sơ</t>
  </si>
  <si>
    <t xml:space="preserve">Thông tin cá nhân, khóa đăng ký, đơn vị liên kết được chọn</t>
  </si>
  <si>
    <t xml:space="preserve">Đơn đăng ký (PDF) có mục "Đơn vị liên kết thu hồ sơ"; hồ sơ gắn với hợp đồng liên kết tương ứng</t>
  </si>
  <si>
    <t xml:space="preserve">Danh sách đơn vị liên kết hiển thị để chọn chỉ gồm các đơn vị đang có hợp đồng liên kết còn hiệu lực với khóa đó</t>
  </si>
  <si>
    <t xml:space="preserve">GD-01</t>
  </si>
  <si>
    <t xml:space="preserve">5. Quản lý giảng dạy</t>
  </si>
  <si>
    <t xml:space="preserve">Điểm danh học viên theo buổi học</t>
  </si>
  <si>
    <t xml:space="preserve">Ghi nhận có mặt/vắng mặt của từng học viên trong mỗi buổi học</t>
  </si>
  <si>
    <t xml:space="preserve">Giảng viên</t>
  </si>
  <si>
    <t xml:space="preserve">Danh sách học viên của buổi học, trạng thái điểm danh</t>
  </si>
  <si>
    <t xml:space="preserve">Bảng điểm danh theo buổi</t>
  </si>
  <si>
    <t xml:space="preserve">Chỉ giảng viên được phân công buổi học mới điểm danh được</t>
  </si>
  <si>
    <t xml:space="preserve">GD-02</t>
  </si>
  <si>
    <t xml:space="preserve">Ghi nhật ký buổi học</t>
  </si>
  <si>
    <t xml:space="preserve">Ghi nội dung đã giảng, nhận xét tiến độ lớp học</t>
  </si>
  <si>
    <t xml:space="preserve">Nội dung buổi học, ghi chú</t>
  </si>
  <si>
    <t xml:space="preserve">Nhật ký khóa học</t>
  </si>
  <si>
    <t xml:space="preserve">Không bắt buộc nhưng khuyến khích thực hiện sau mỗi buổi</t>
  </si>
  <si>
    <t xml:space="preserve">GD-03</t>
  </si>
  <si>
    <t xml:space="preserve">Xử lý nghỉ học, đổi lịch, học bù</t>
  </si>
  <si>
    <t xml:space="preserve">Cập nhật thay đổi lịch học phát sinh và đồng bộ lại thời khóa biểu</t>
  </si>
  <si>
    <t xml:space="preserve">Buổi học cần đổi, lý do, lịch mới</t>
  </si>
  <si>
    <t xml:space="preserve">Thời khóa biểu cập nhật, thông báo gửi học viên/giảng viên</t>
  </si>
  <si>
    <t xml:space="preserve">Không trùng lịch phòng học/giảng viên khi xếp lại</t>
  </si>
  <si>
    <t xml:space="preserve">GD-04</t>
  </si>
  <si>
    <t xml:space="preserve">Quản lý tài liệu học tập/học liệu số</t>
  </si>
  <si>
    <t xml:space="preserve">Tải lên, chia sẻ tài liệu học tập theo học phần cho học viên trong khóa</t>
  </si>
  <si>
    <t xml:space="preserve">File tài liệu, học phần gắn kèm</t>
  </si>
  <si>
    <t xml:space="preserve">Tài liệu hiển thị cho học viên của khóa</t>
  </si>
  <si>
    <t xml:space="preserve">Chỉ học viên trong khóa mới xem/tải được tài liệu</t>
  </si>
  <si>
    <t xml:space="preserve">Đợt 3</t>
  </si>
  <si>
    <t xml:space="preserve">GD-05</t>
  </si>
  <si>
    <t xml:space="preserve">Tạo và quản lý link phòng học trực tuyến</t>
  </si>
  <si>
    <t xml:space="preserve">Tự động sinh, lưu, thu hồi link Zoom/MS Teams gắn với từng buổi học trực tuyến</t>
  </si>
  <si>
    <t xml:space="preserve">Hệ thống (tích hợp API)/Cán bộ quản lý đào tạo</t>
  </si>
  <si>
    <t xml:space="preserve">Thông tin buổi học trực tuyến</t>
  </si>
  <si>
    <t xml:space="preserve">Link phòng học kèm thời gian hiệu lực</t>
  </si>
  <si>
    <t xml:space="preserve">Link tự động vô hiệu sau khi buổi học kết thúc</t>
  </si>
  <si>
    <t xml:space="preserve">KQ-01</t>
  </si>
  <si>
    <t xml:space="preserve">6. Quản lý điểm và kết quả học tập</t>
  </si>
  <si>
    <t xml:space="preserve">Nhập điểm thành phần/điểm kết thúc học phần</t>
  </si>
  <si>
    <t xml:space="preserve">Giảng viên nhập điểm cho học viên theo từng học phần phụ trách</t>
  </si>
  <si>
    <t xml:space="preserve">Điểm thành phần, điểm kết thúc</t>
  </si>
  <si>
    <t xml:space="preserve">Bảng điểm học phần</t>
  </si>
  <si>
    <t xml:space="preserve">Chỉ nhập được cho học phần mình phụ trách; điểm trong khoảng 0–10</t>
  </si>
  <si>
    <t xml:space="preserve">KQ-02</t>
  </si>
  <si>
    <t xml:space="preserve">Tổng hợp kết quả toàn khóa</t>
  </si>
  <si>
    <t xml:space="preserve">Tự động tính điểm trung bình, tỷ lệ chuyên cần từ điểm danh và bảng điểm học phần</t>
  </si>
  <si>
    <t xml:space="preserve">Hệ thống/Cán bộ quản lý đào tạo</t>
  </si>
  <si>
    <t xml:space="preserve">Điểm các học phần, dữ liệu điểm danh</t>
  </si>
  <si>
    <t xml:space="preserve">Bảng tổng hợp kết quả toàn khóa</t>
  </si>
  <si>
    <t xml:space="preserve">Công thức tính theo trọng số học phần do chương trình quy định</t>
  </si>
  <si>
    <t xml:space="preserve">KQ-03</t>
  </si>
  <si>
    <t xml:space="preserve">Xét điều kiện hoàn thành khóa</t>
  </si>
  <si>
    <t xml:space="preserve">Đối chiếu kết quả học tập và điều kiện học phí để xác định học viên đạt/không đạt</t>
  </si>
  <si>
    <t xml:space="preserve">Cán bộ quản lý đào tạo/Cán bộ tài chính</t>
  </si>
  <si>
    <t xml:space="preserve">Bảng tổng hợp kết quả, trạng thái học phí</t>
  </si>
  <si>
    <t xml:space="preserve">Danh sách học viên đủ/không đủ điều kiện hoàn thành</t>
  </si>
  <si>
    <t xml:space="preserve">Học viên còn nợ học phí không được công nhận hoàn thành dù đủ điểm</t>
  </si>
  <si>
    <t xml:space="preserve">KQ-04</t>
  </si>
  <si>
    <t xml:space="preserve">Phê duyệt kết quả cuối cùng</t>
  </si>
  <si>
    <t xml:space="preserve">Hội đồng/lãnh đạo ký duyệt kết quả toàn khóa</t>
  </si>
  <si>
    <t xml:space="preserve">Hội đồng/Lãnh đạo</t>
  </si>
  <si>
    <t xml:space="preserve">Danh sách kết quả đề nghị phê duyệt</t>
  </si>
  <si>
    <t xml:space="preserve">Quyết định công nhận kết quả</t>
  </si>
  <si>
    <t xml:space="preserve">Không sửa điểm sau khi đã phê duyệt, trừ khi có quyết định phúc khảo</t>
  </si>
  <si>
    <t xml:space="preserve">KQ-05</t>
  </si>
  <si>
    <t xml:space="preserve">Tra cứu điểm</t>
  </si>
  <si>
    <t xml:space="preserve">Học viên tự tra cứu điểm của mình trên hệ thống</t>
  </si>
  <si>
    <t xml:space="preserve">Tài khoản đăng nhập</t>
  </si>
  <si>
    <t xml:space="preserve">Bảng điểm cá nhân</t>
  </si>
  <si>
    <t xml:space="preserve">Chỉ xem được điểm của chính mình</t>
  </si>
  <si>
    <t xml:space="preserve">KQ-06</t>
  </si>
  <si>
    <t xml:space="preserve">Nhập kết quả thi trực tiếp (Phương thức 3)</t>
  </si>
  <si>
    <t xml:space="preserve">Đối với khóa chỉ đăng ký dự thi (không qua giảng dạy), cán bộ quản lý đào tạo nhập trực tiếp kết quả thi vào hệ thống sau khi chấm thi để phục vụ xét cấp chứng chỉ</t>
  </si>
  <si>
    <t xml:space="preserve">Danh sách thí sinh dự thi, điểm/kết quả thi</t>
  </si>
  <si>
    <t xml:space="preserve">Bảng kết quả thi làm căn cứ xét cấp chứng chỉ</t>
  </si>
  <si>
    <t xml:space="preserve">Không áp dụng bước tổng hợp điểm chuyên cần vì khóa không có điểm danh/giảng dạy</t>
  </si>
  <si>
    <t xml:space="preserve">HP-01</t>
  </si>
  <si>
    <t xml:space="preserve">7. Quản lý học phí</t>
  </si>
  <si>
    <t xml:space="preserve">Thiết lập mức học phí theo khóa</t>
  </si>
  <si>
    <t xml:space="preserve">Khai báo mức học phí, chính sách miễn giảm (nếu có) khi mở khóa</t>
  </si>
  <si>
    <t xml:space="preserve">Mức học phí, đối tượng miễn giảm</t>
  </si>
  <si>
    <t xml:space="preserve">Mức học phí áp dụng cho khóa</t>
  </si>
  <si>
    <t xml:space="preserve">Mức học phí không đổi sau khi khóa đã có học viên đăng ký, trừ khi có quyết định điều chỉnh</t>
  </si>
  <si>
    <t xml:space="preserve">HP-02</t>
  </si>
  <si>
    <t xml:space="preserve">Ghi nhận và xác nhận thanh toán học phí</t>
  </si>
  <si>
    <t xml:space="preserve">Ghi nhận khoản nộp của học viên (chuyển khoản/tiền mặt/cổng thanh toán), đối chiếu và xác nhận</t>
  </si>
  <si>
    <t xml:space="preserve">Cán bộ tài chính</t>
  </si>
  <si>
    <t xml:space="preserve">Chứng từ nộp tiền, số tiền, học viên, khóa</t>
  </si>
  <si>
    <t xml:space="preserve">Trạng thái thanh toán của học viên cập nhật (đã nộp đủ/còn nợ/miễn giảm)</t>
  </si>
  <si>
    <t xml:space="preserve">Chỉ Cán bộ tài chính có quyền xác nhận; mọi thay đổi được ghi nhật ký</t>
  </si>
  <si>
    <t xml:space="preserve">HP-03</t>
  </si>
  <si>
    <t xml:space="preserve">Theo dõi công nợ học viên</t>
  </si>
  <si>
    <t xml:space="preserve">Liệt kê học viên còn nợ học phí theo khóa, gửi nhắc nhở</t>
  </si>
  <si>
    <t xml:space="preserve">Danh sách học viên, trạng thái thanh toán</t>
  </si>
  <si>
    <t xml:space="preserve">Danh sách công nợ, thông báo nhắc nộp</t>
  </si>
  <si>
    <t xml:space="preserve">Tự động nhắc trước hạn chót tối thiểu 7 ngày</t>
  </si>
  <si>
    <t xml:space="preserve">HP-04</t>
  </si>
  <si>
    <t xml:space="preserve">Lập phiếu thu, xuất chứng từ</t>
  </si>
  <si>
    <t xml:space="preserve">Sinh phiếu thu/biên lai điện tử cho mỗi khoản nộp</t>
  </si>
  <si>
    <t xml:space="preserve">Thông tin khoản nộp đã xác nhận</t>
  </si>
  <si>
    <t xml:space="preserve">Phiếu thu có số hiệu, in/xuất được PDF</t>
  </si>
  <si>
    <t xml:space="preserve">Số phiếu thu sinh tự động, tăng dần, không trùng</t>
  </si>
  <si>
    <t xml:space="preserve">HP-05</t>
  </si>
  <si>
    <t xml:space="preserve">Báo cáo doanh thu và công nợ học phí</t>
  </si>
  <si>
    <t xml:space="preserve">Tổng hợp số liệu thu học phí theo khóa/đợt/thời gian</t>
  </si>
  <si>
    <t xml:space="preserve">Cán bộ tài chính/Lãnh đạo</t>
  </si>
  <si>
    <t xml:space="preserve">Khoảng thời gian, khóa/đợt cần báo cáo</t>
  </si>
  <si>
    <t xml:space="preserve">Báo cáo doanh thu, công nợ</t>
  </si>
  <si>
    <t xml:space="preserve">Số liệu khớp với tổng các phiếu thu đã lập</t>
  </si>
  <si>
    <t xml:space="preserve">HP-06</t>
  </si>
  <si>
    <t xml:space="preserve">Liên kết điều kiện học phí với kết quả/chứng chỉ</t>
  </si>
  <si>
    <t xml:space="preserve">Chặn công nhận kết quả và cấp chứng chỉ nếu học viên chưa hoàn tất nghĩa vụ tài chính; riêng học viên do đơn vị liên kết tuyển sinh áp dụng điều kiện hợp đồng liên kết đã thanh lý thay cho điều kiện đã nộp học phí cá nhân</t>
  </si>
  <si>
    <t xml:space="preserve">Hệ thống (tự động kiểm tra)</t>
  </si>
  <si>
    <t xml:space="preserve">Trạng thái thanh toán học viên hoặc trạng thái thanh lý hợp đồng liên kết</t>
  </si>
  <si>
    <t xml:space="preserve">Cảnh báo/chặn thao tác công nhận kết quả, cấp chứng chỉ</t>
  </si>
  <si>
    <t xml:space="preserve">Có thể bỏ chặn thủ công nếu lãnh đạo phê duyệt trường hợp đặc biệt</t>
  </si>
  <si>
    <t xml:space="preserve">CC-01</t>
  </si>
  <si>
    <t xml:space="preserve">8. Quản lý chứng chỉ/chứng nhận</t>
  </si>
  <si>
    <t xml:space="preserve">Lập danh sách đề nghị cấp chứng chỉ</t>
  </si>
  <si>
    <t xml:space="preserve">Tự động lọc học viên đủ điều kiện (đạt kết quả học tập hoặc kết quả thi, và hoàn tất học phí cá nhân — hoặc, đối với học viên do đơn vị liên kết tuyển sinh, hợp đồng liên kết đã thanh lý) không phân biệt phương thức đăng ký ban đầu</t>
  </si>
  <si>
    <t xml:space="preserve">Kết quả khóa/kết quả thi, trạng thái học phí hoặc trạng thái thanh lý hợp đồng liên kết</t>
  </si>
  <si>
    <t xml:space="preserve">Danh sách đề nghị cấp chứng chỉ</t>
  </si>
  <si>
    <t xml:space="preserve">Chỉ học viên đủ cả 2 điều kiện mới vào danh sách; học viên qua đơn vị liên kết bị loại khỏi danh sách cho đến khi hợp đồng liên kết tương ứng được thanh lý</t>
  </si>
  <si>
    <t xml:space="preserve">CC-02</t>
  </si>
  <si>
    <t xml:space="preserve">Sinh số hiệu và in ấn chứng chỉ</t>
  </si>
  <si>
    <t xml:space="preserve">Sinh số hiệu chứng chỉ tự động theo sổ cấp, xuất bản in/PDF theo mẫu</t>
  </si>
  <si>
    <t xml:space="preserve">Danh sách đề nghị cấp, mẫu chứng chỉ</t>
  </si>
  <si>
    <t xml:space="preserve">Chứng chỉ (bản in/PDF)</t>
  </si>
  <si>
    <t xml:space="preserve">Số hiệu tăng dần, không trùng, không cấp lại số đã hủy</t>
  </si>
  <si>
    <t xml:space="preserve">CC-03</t>
  </si>
  <si>
    <t xml:space="preserve">Ký duyệt và cập nhật trạng thái</t>
  </si>
  <si>
    <t xml:space="preserve">Ghi nhận việc ký duyệt, đóng dấu của lãnh đạo (số quyết định, ngày ký)</t>
  </si>
  <si>
    <t xml:space="preserve">Ban giám hiệu/Cán bộ quản lý đào tạo</t>
  </si>
  <si>
    <t xml:space="preserve">Chứng chỉ chờ ký, thông tin người ký</t>
  </si>
  <si>
    <t xml:space="preserve">Chứng chỉ ở trạng thái "Đã ký duyệt"</t>
  </si>
  <si>
    <t xml:space="preserve">Chỉ chứng chỉ đã ký duyệt mới được trả cho học viên</t>
  </si>
  <si>
    <t xml:space="preserve">CC-04</t>
  </si>
  <si>
    <t xml:space="preserve">Vào sổ cấp chứng chỉ, lưu hồ sơ</t>
  </si>
  <si>
    <t xml:space="preserve">Ghi nhận việc trả chứng chỉ theo kênh phù hợp: trao trực tiếp cho học viên tự đăng ký, hoặc bàn giao theo lô về đơn vị liên kết để đơn vị liên kết phát lại cho học viên do đơn vị đó tuyển sinh; lưu hồ sơ điện tử vĩnh viễn</t>
  </si>
  <si>
    <t xml:space="preserve">Thông tin nhận chứng chỉ (người nhận/đơn vị liên kết, ngày nhận), kênh nhận chứng chỉ</t>
  </si>
  <si>
    <t xml:space="preserve">Sổ cấp chứng chỉ điện tử</t>
  </si>
  <si>
    <t xml:space="preserve">Chứng chỉ của học viên qua đơn vị liên kết chỉ bàn giao theo lô sau khi hợp đồng liên kết đã thanh lý; hồ sơ lưu trữ tối thiểu theo thời hạn quy định của trường</t>
  </si>
  <si>
    <t xml:space="preserve">CC-05</t>
  </si>
  <si>
    <t xml:space="preserve">Tra cứu, xác thực chứng chỉ</t>
  </si>
  <si>
    <t xml:space="preserve">Cho phép tra cứu công khai thông tin chứng chỉ theo số hiệu/mã QR để xác thực</t>
  </si>
  <si>
    <t xml:space="preserve">Học viên/Bên thứ ba (nhà tuyển dụng, đơn vị công tác)</t>
  </si>
  <si>
    <t xml:space="preserve">Số hiệu chứng chỉ hoặc mã QR</t>
  </si>
  <si>
    <t xml:space="preserve">Thông tin xác thực chứng chỉ (hợp lệ/không tìm thấy)</t>
  </si>
  <si>
    <t xml:space="preserve">Không hiển thị thông tin cá nhân nhạy cảm khi tra cứu công khai</t>
  </si>
  <si>
    <t xml:space="preserve">BC-01</t>
  </si>
  <si>
    <t xml:space="preserve">9. Báo cáo – Thống kê – Dashboard</t>
  </si>
  <si>
    <t xml:space="preserve">Dashboard tổng quan thời gian thực</t>
  </si>
  <si>
    <t xml:space="preserve">Trực quan hóa số khóa đang mở, số học viên, tiến độ giảng dạy, tình hình thu học phí ngay khi dữ liệu thay đổi</t>
  </si>
  <si>
    <t xml:space="preserve">Lãnh đạo/Cán bộ quản lý đào tạo/Cán bộ tài chính</t>
  </si>
  <si>
    <t xml:space="preserve">Toàn bộ dữ liệu nghiệp vụ hiện có</t>
  </si>
  <si>
    <t xml:space="preserve">Bảng điều khiển trực quan (biểu đồ, chỉ số)</t>
  </si>
  <si>
    <t xml:space="preserve">Dữ liệu cập nhật không trễ quá 5 phút so với thời gian thực</t>
  </si>
  <si>
    <t xml:space="preserve">BC-02</t>
  </si>
  <si>
    <t xml:space="preserve">Báo cáo định kỳ hoạt động đào tạo</t>
  </si>
  <si>
    <t xml:space="preserve">Trích xuất báo cáo số khóa, học viên, tỷ lệ hoàn thành theo kỳ</t>
  </si>
  <si>
    <t xml:space="preserve">Khoảng thời gian, tiêu chí lọc</t>
  </si>
  <si>
    <t xml:space="preserve">Báo cáo (Excel/PDF)</t>
  </si>
  <si>
    <t xml:space="preserve">Có thể xuất theo mẫu chuẩn của trường</t>
  </si>
  <si>
    <t xml:space="preserve">BC-03</t>
  </si>
  <si>
    <t xml:space="preserve">Báo cáo tài chính học phí</t>
  </si>
  <si>
    <t xml:space="preserve">Tổng hợp doanh thu, công nợ học phí phục vụ đối soát tài chính</t>
  </si>
  <si>
    <t xml:space="preserve">Khoảng thời gian, khóa/đợt</t>
  </si>
  <si>
    <t xml:space="preserve">Báo cáo tài chính (Excel/PDF)</t>
  </si>
  <si>
    <t xml:space="preserve">Số liệu phải khớp module Quản lý học phí</t>
  </si>
  <si>
    <t xml:space="preserve">BC-04</t>
  </si>
  <si>
    <t xml:space="preserve">Xuất báo cáo theo mẫu gửi cấp trên</t>
  </si>
  <si>
    <t xml:space="preserve">Kết xuất báo cáo đúng biểu mẫu quy định của Bộ/Sở Giáo dục và Đào tạo</t>
  </si>
  <si>
    <t xml:space="preserve">Kỳ báo cáo, mẫu biểu</t>
  </si>
  <si>
    <t xml:space="preserve">File báo cáo đúng định dạng yêu cầu</t>
  </si>
  <si>
    <t xml:space="preserve">Cập nhật mẫu biểu khi có thay đổi quy định</t>
  </si>
  <si>
    <t xml:space="preserve">BC-05</t>
  </si>
  <si>
    <t xml:space="preserve">Tra cứu hồ sơ lưu trữ điện tử</t>
  </si>
  <si>
    <t xml:space="preserve">Tìm kiếm hồ sơ chương trình/khóa/học viên/chứng chỉ đã lưu trữ phục vụ kiểm định, thanh tra</t>
  </si>
  <si>
    <t xml:space="preserve">Cán bộ quản lý đào tạo/Lãnh đạo</t>
  </si>
  <si>
    <t xml:space="preserve">Từ khóa, khoảng thời gian, loại hồ sơ</t>
  </si>
  <si>
    <t xml:space="preserve">Danh sách hồ sơ phù hợp kèm liên kết xem chi tiết</t>
  </si>
  <si>
    <t xml:space="preserve">Toàn bộ thao tác tra cứu được ghi nhật ký</t>
  </si>
  <si>
    <t xml:space="preserve">QT-01</t>
  </si>
  <si>
    <t xml:space="preserve">10. Quản trị hệ thống</t>
  </si>
  <si>
    <t xml:space="preserve">Quản lý tài khoản người dùng</t>
  </si>
  <si>
    <t xml:space="preserve">Tạo/khóa/xóa tài khoản, đặt lại mật khẩu cho cán bộ, giảng viên, học viên</t>
  </si>
  <si>
    <t xml:space="preserve">Thông tin tài khoản, vai trò</t>
  </si>
  <si>
    <t xml:space="preserve">Tài khoản người dùng</t>
  </si>
  <si>
    <t xml:space="preserve">Mật khẩu tuân thủ chính sách bảo mật tối thiểu</t>
  </si>
  <si>
    <t xml:space="preserve">QT-02</t>
  </si>
  <si>
    <t xml:space="preserve">Phân quyền theo vai trò (RBAC)</t>
  </si>
  <si>
    <t xml:space="preserve">Gán/thu hồi quyền truy cập chức năng theo từng vai trò</t>
  </si>
  <si>
    <t xml:space="preserve">Vai trò, danh sách quyền</t>
  </si>
  <si>
    <t xml:space="preserve">Ma trận phân quyền cập nhật</t>
  </si>
  <si>
    <t xml:space="preserve">Một tài khoản có thể giữ nhiều vai trò</t>
  </si>
  <si>
    <t xml:space="preserve">QT-03</t>
  </si>
  <si>
    <t xml:space="preserve">Nhật ký thao tác (audit log)</t>
  </si>
  <si>
    <t xml:space="preserve">Ghi lại toàn bộ thao tác quan trọng: tạo/sửa/xóa, xác nhận thanh toán, ký duyệt...</t>
  </si>
  <si>
    <t xml:space="preserve">Hành động, người thực hiện, thời gian</t>
  </si>
  <si>
    <t xml:space="preserve">Nhật ký thao tác có thể tra cứu</t>
  </si>
  <si>
    <t xml:space="preserve">Không cho phép sửa/xóa nhật ký đã ghi</t>
  </si>
  <si>
    <t xml:space="preserve">QT-04</t>
  </si>
  <si>
    <t xml:space="preserve">Sao lưu và phục hồi dữ liệu</t>
  </si>
  <si>
    <t xml:space="preserve">Sao lưu định kỳ toàn bộ dữ liệu hệ thống, hỗ trợ phục hồi khi có sự cố</t>
  </si>
  <si>
    <t xml:space="preserve">Lịch sao lưu</t>
  </si>
  <si>
    <t xml:space="preserve">Bản sao lưu, nhật ký sao lưu</t>
  </si>
  <si>
    <t xml:space="preserve">Sao lưu tối thiểu hằng ngày, lưu tối thiểu 30 bản gần nhất</t>
  </si>
  <si>
    <t xml:space="preserve">QT-05</t>
  </si>
  <si>
    <t xml:space="preserve">Cấu hình tham số hệ thống</t>
  </si>
  <si>
    <t xml:space="preserve">Thiết lập các tham số dùng chung: mẫu chứng chỉ, mẫu thông báo, chính sách mật khẩu...</t>
  </si>
  <si>
    <t xml:space="preserve">Tham số cấu hình</t>
  </si>
  <si>
    <t xml:space="preserve">Cấu hình hệ thống cập nhật</t>
  </si>
  <si>
    <t xml:space="preserve">Thay đổi cấu hình được ghi vào nhật ký thao tác</t>
  </si>
  <si>
    <t xml:space="preserve">DVLK-01</t>
  </si>
  <si>
    <t xml:space="preserve">11. Quản lý đơn vị liên kết</t>
  </si>
  <si>
    <t xml:space="preserve">Quản lý danh mục đơn vị liên kết</t>
  </si>
  <si>
    <t xml:space="preserve">Thêm/sửa/xóa/tra cứu danh mục đơn vị liên kết tuyển sinh: tên, địa chỉ, người đại diện, thông tin liên hệ, trạng thái hợp tác (đang hợp tác/tạm ngừng)</t>
  </si>
  <si>
    <t xml:space="preserve">Tên đơn vị, địa chỉ, người đại diện, liên hệ</t>
  </si>
  <si>
    <t xml:space="preserve">Danh mục đơn vị liên kết</t>
  </si>
  <si>
    <t xml:space="preserve">Mã đơn vị liên kết không trùng lặp; không xóa được đơn vị đang có hợp đồng chưa thanh lý</t>
  </si>
  <si>
    <t xml:space="preserve">DVLK-02</t>
  </si>
  <si>
    <t xml:space="preserve">Cấp và quản lý tài khoản đơn vị liên kết</t>
  </si>
  <si>
    <t xml:space="preserve">Tạo tài khoản đăng nhập cho đơn vị liên kết, giới hạn quyền chỉ thao tác trên các khóa được phân công cho đơn vị đó</t>
  </si>
  <si>
    <t xml:space="preserve">Đơn vị liên kết, danh sách khóa được phân công</t>
  </si>
  <si>
    <t xml:space="preserve">Tài khoản đơn vị liên kết đã kích hoạt</t>
  </si>
  <si>
    <t xml:space="preserve">Tài khoản đơn vị liên kết không xem được học phí cá nhân của học viên và không xem được dữ liệu của khóa/đơn vị khác</t>
  </si>
  <si>
    <t xml:space="preserve">DVLK-03</t>
  </si>
  <si>
    <t xml:space="preserve">Quản lý hợp đồng liên kết tuyển sinh theo khóa</t>
  </si>
  <si>
    <t xml:space="preserve">Khởi tạo và theo dõi hợp đồng liên kết tuyển sinh giữa trường và đơn vị liên kết cho từng khóa: số lượng học viên dự kiến/thực tế, đơn giá học phí thỏa thuận, trạng thái hợp đồng</t>
  </si>
  <si>
    <t xml:space="preserve">Đơn vị liên kết, khóa, số lượng dự kiến, đơn giá thỏa thuận</t>
  </si>
  <si>
    <t xml:space="preserve">Hợp đồng liên kết ở trạng thái "Đang triển khai"</t>
  </si>
  <si>
    <t xml:space="preserve">Một khóa có thể có nhiều hợp đồng nếu nhiều đơn vị liên kết cùng tuyển sinh; mỗi học viên qua đơn vị liên kết chỉ gắn với đúng 1 hợp đồng</t>
  </si>
  <si>
    <t xml:space="preserve">DVLK-04</t>
  </si>
  <si>
    <t xml:space="preserve">Đăng ký và tiếp nhận hồ sơ học viên qua đơn vị liên kết</t>
  </si>
  <si>
    <t xml:space="preserve">Hỗ trợ 2 hình thức: (4a) cán bộ đơn vị liên kết dùng tài khoản được cấp đăng ký thay học viên và in đơn; (4b) học viên tự đăng ký trực tuyến và chọn đơn vị liên kết sẽ thu hồ sơ giấy — đơn đăng ký in ra có mục "Đơn vị liên kết thu hồ sơ" tương ứng</t>
  </si>
  <si>
    <t xml:space="preserve">Cán bộ đơn vị liên kết/Học viên</t>
  </si>
  <si>
    <t xml:space="preserve">Thông tin học viên, khóa đăng ký, đơn vị liên kết (chọn hoặc mặc định theo tài khoản)</t>
  </si>
  <si>
    <t xml:space="preserve">Hồ sơ đăng ký gắn với hợp đồng liên kết tương ứng; đơn đăng ký (PDF) có thông tin đơn vị liên kết thu hồ sơ</t>
  </si>
  <si>
    <t xml:space="preserve">Chỉ áp dụng cho khóa thuộc chương trình cấu hình Phương thức 4 và đã có hợp đồng liên kết còn hiệu lực với đơn vị được chọn</t>
  </si>
  <si>
    <t xml:space="preserve">DVLK-05</t>
  </si>
  <si>
    <t xml:space="preserve">Xác nhận đơn vị liên kết đã thu hồ sơ và tổng hợp gửi trường</t>
  </si>
  <si>
    <t xml:space="preserve">Đơn vị liên kết xác nhận đã thu đủ đơn đăng ký bản giấy do học viên ký, tổng hợp và bàn giao (bản giấy/scan) về trường theo lô</t>
  </si>
  <si>
    <t xml:space="preserve">Cán bộ đơn vị liên kết/Cán bộ quản lý đào tạo</t>
  </si>
  <si>
    <t xml:space="preserve">Danh sách đơn đã thu theo khóa</t>
  </si>
  <si>
    <t xml:space="preserve">Hồ sơ không được đơn vị liên kết xác nhận thu trong thời hạn quy định sẽ tự động hủy đăng ký</t>
  </si>
  <si>
    <t xml:space="preserve">DVLK-06</t>
  </si>
  <si>
    <t xml:space="preserve">Thanh lý hợp đồng liên kết tuyển sinh cuối khóa</t>
  </si>
  <si>
    <t xml:space="preserve">Đối chiếu số học viên hoàn thành/thôi học thực tế với hợp đồng, lập biên bản thanh lý, ghi nhận số tiền quyết toán; sau khi thanh lý, hệ thống cập nhật hàng loạt trạng thái tài chính "Đã hoàn tất" cho toàn bộ học viên hợp lệ thuộc hợp đồng</t>
  </si>
  <si>
    <t xml:space="preserve">Danh sách học viên theo hợp đồng, kết quả khóa, số tiền quyết toán</t>
  </si>
  <si>
    <t xml:space="preserve">Biên bản thanh lý hợp đồng; trạng thái tài chính học viên cập nhật hàng loạt</t>
  </si>
  <si>
    <t xml:space="preserve">Học viên chỉ được xét cấp chứng chỉ sau khi hợp đồng liên kết của mình đã được thanh lý, dù đã đạt kết quả chuyên môn</t>
  </si>
  <si>
    <t xml:space="preserve">DVLK-07</t>
  </si>
  <si>
    <t xml:space="preserve">Báo cáo công nợ và doanh thu theo đơn vị liên kết</t>
  </si>
  <si>
    <t xml:space="preserve">Tổng hợp số lượng học viên, doanh thu, công nợ chưa thanh lý theo từng đơn vị liên kết/khóa/thời gian</t>
  </si>
  <si>
    <t xml:space="preserve">Khoảng thời gian, đơn vị liên kết cần báo cáo</t>
  </si>
  <si>
    <t xml:space="preserve">Báo cáo công nợ, doanh thu theo đơn vị liên kết</t>
  </si>
  <si>
    <t xml:space="preserve">Số liệu khớp với các hợp đồng đã/chưa thanh lý</t>
  </si>
  <si>
    <t xml:space="preserve">SỐ LƯỢNG CHỨC NĂNG THEO NHÓM (MODULE)</t>
  </si>
  <si>
    <t xml:space="preserve">Số lượng</t>
  </si>
  <si>
    <t xml:space="preserve">Tổng cộng</t>
  </si>
  <si>
    <t xml:space="preserve">SỐ LƯỢNG CHỨC NĂNG THEO GIAI ĐOẠN TRIỂN KHAI</t>
  </si>
  <si>
    <t xml:space="preserve">SỐ LƯỢNG CHỨC NĂNG THEO ĐỘ ƯU TIÊN</t>
  </si>
  <si>
    <t xml:space="preserve">Ghi chú: Số liệu tại các bảng trên được tính tự động bằng công thức COUNTIF/SUM tham chiếu tới sheet "Bảng phân tích chức năng".</t>
  </si>
  <si>
    <t xml:space="preserve">Khu vực/Màn hình</t>
  </si>
  <si>
    <t xml:space="preserve">Áp dụng cho module</t>
  </si>
  <si>
    <t xml:space="preserve">Bố cục quan sát được (nguồn: taphuan.csdl.edu.vn)</t>
  </si>
  <si>
    <t xml:space="preserve">Gợi ý áp dụng khi build</t>
  </si>
  <si>
    <t xml:space="preserve">Điều hướng chung</t>
  </si>
  <si>
    <t xml:space="preserve">Toàn hệ thống</t>
  </si>
  <si>
    <t xml:space="preserve">Sidebar trái nhóm theo khu vực chức năng, có thể thu gọn/mở rộng; top bar có 1 bộ chọn "Năm học" dùng chung cho mọi màn hình thay vì lặp lại filter năm học ở từng nơi</t>
  </si>
  <si>
    <t xml:space="preserve">Nhóm sidebar theo đúng 11 module hiện có; đặt 1 bộ lọc "Năm học/Đợt" toàn cục ở top bar, áp dụng chung cho các màn hình danh sách chương trình/khóa/báo cáo</t>
  </si>
  <si>
    <t xml:space="preserve">Danh sách Chương trình bồi dưỡng</t>
  </si>
  <si>
    <t xml:space="preserve">Dạng thẻ (card): tên chương trình gộp đủ mã/năm học/đơn vị/đối tượng để tìm nhanh; badge trạng thái màu nổi bật; hiển thị thời điểm đồng bộ dữ liệu lần cuối; bộ lọc theo đơn vị kèm tùy chọn "bao gồm đơn vị con"/"chương trình chia sẻ từ đơn vị cha"</t>
  </si>
  <si>
    <t xml:space="preserve">Áp dụng cho màn hình CT-05 (tra cứu chương trình): dùng dạng thẻ, đặt tên chương trình gồm mã + năm học + đối tượng; thêm badge trạng thái (Dự thảo/Đã ban hành/Lưu trữ)</t>
  </si>
  <si>
    <t xml:space="preserve">Danh sách Khóa bồi dưỡng</t>
  </si>
  <si>
    <t xml:space="preserve">Dạng bảng dữ liệu, cột: mã khóa, tên khóa, ngày bắt đầu/kết thúc, người tạo, ngày tạo, tỷ lệ học viên đạt/sĩ số, tỷ lệ đã chấm/nộp bài, người hướng dẫn (avatar viết tắt tên), đơn vị, trạng thái, thao tác</t>
  </si>
  <si>
    <t xml:space="preserve">Áp dụng cho màn hình KH-05 (quản lý trạng thái và sĩ số khóa): dùng đúng bộ cột này, đặc biệt cặp "học viên đạt/sĩ số" và "tình trạng nộp &amp; chấm bài" để xem tiến độ khóa mà không cần mở chi tiết</t>
  </si>
  <si>
    <t xml:space="preserve">Danh sách Học viên/Tài khoản</t>
  </si>
  <si>
    <t xml:space="preserve">4. Tuyển sinh &amp; Quản lý học viên; 10. Quản trị hệ thống</t>
  </si>
  <si>
    <t xml:space="preserve">Bộ lọc theo mã, tên, số điện thoại, đơn vị, trạng thái hoạt động; cột bảng: mã, tên, email, năm sinh, giới tính, vị trí/chức vụ, đơn vị, số điện thoại, thao tác</t>
  </si>
  <si>
    <t xml:space="preserve">Áp dụng cho màn hình HV-08 (quản lý hồ sơ học viên) và QT-01 (quản lý tài khoản): dùng đúng bộ cột này; đảm bảo áp dụng phân quyền để mỗi vai trò chỉ thấy đúng phạm vi dữ liệu cho phép (đặc biệt Cán bộ đơn vị liên kết)</t>
  </si>
  <si>
    <t xml:space="preserve">Danh mục Báo cáo</t>
  </si>
  <si>
    <t xml:space="preserve">Trang danh sách dạng card: icon + tiêu đề báo cáo + mô tả ngắn 1-2 dòng, bấm vào mới sang màn hình báo cáo chi tiết</t>
  </si>
  <si>
    <t xml:space="preserve">Áp dụng làm trang chủ của module Báo cáo (BC-02/BC-03): liệt kê các loại báo cáo bằng card icon+mô tả, dashboard thời gian thực (BC-01) đặt riêng ở màn hình đầu tiên</t>
  </si>
  <si>
    <t xml:space="preserve">Nguồn tham khảo: taphuan.csdl.edu.vn (Hệ thống bồi dưỡng thường xuyên GVPT và CBQLCSGDPT, do Viettel xây dựng cho Bộ GDĐT) — quan sát bố cục/luồng màn hình, không sao chép dữ liệu hay mã nguồn.</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</si>
</sst>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Times New Roman"/>
      <family val="0"/>
      <charset val="1"/>
    </font>
    <font>
      <sz val="11"/>
      <name val="Times New Roman"/>
      <family val="0"/>
      <charset val="1"/>
    </font>
    <font>
      <b val="true"/>
      <sz val="12"/>
      <color rgb="FFFFFFFF"/>
      <name val="Times New Roman"/>
      <family val="0"/>
      <charset val="1"/>
    </font>
    <font>
      <b val="true"/>
      <sz val="11"/>
      <name val="Times New Roman"/>
      <family val="0"/>
      <charset val="1"/>
    </font>
    <font>
      <i val="true"/>
      <sz val="10"/>
      <color rgb="FF595959"/>
      <name val="Times New Roman"/>
      <family val="0"/>
      <charset val="1"/>
    </font>
  </fonts>
  <fills count="7">
    <fill>
      <patternFill patternType="none"/>
    </fill>
    <fill>
      <patternFill patternType="gray125"/>
    </fill>
    <fill>
      <patternFill patternType="solid">
        <fgColor rgb="FF1F3864"/>
        <bgColor rgb="FF333333"/>
      </patternFill>
    </fill>
    <fill>
      <patternFill patternType="solid">
        <fgColor rgb="FFDCE6F1"/>
        <bgColor rgb="FFE2EFDA"/>
      </patternFill>
    </fill>
    <fill>
      <patternFill patternType="solid">
        <fgColor rgb="FFFCE4E4"/>
        <bgColor rgb="FFFFF2CC"/>
      </patternFill>
    </fill>
    <fill>
      <patternFill patternType="solid">
        <fgColor rgb="FFFFF2CC"/>
        <bgColor rgb="FFFCE4E4"/>
      </patternFill>
    </fill>
    <fill>
      <patternFill patternType="solid">
        <fgColor rgb="FFE2EFDA"/>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DCE6F1"/>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BangChucNang" displayName="BangChucNang" ref="A1:J70" headerRowCount="1" totalsRowCount="0" totalsRowShown="0">
  <autoFilter ref="A1:J70"/>
  <tableColumns count="10">
    <tableColumn id="1" name="Mã CN"/>
    <tableColumn id="2" name="Nhóm chức năng"/>
    <tableColumn id="3" name="Tên chức năng"/>
    <tableColumn id="4" name="Mô tả chi tiết"/>
    <tableColumn id="5" name="Vai trò sử dụng (Actor)"/>
    <tableColumn id="6" name="Dữ liệu đầu vào (Input)"/>
    <tableColumn id="7" name="Dữ liệu đầu ra (Output)"/>
    <tableColumn id="8" name="Quy tắc nghiệp vụ / Điều kiện tiên quyết"/>
    <tableColumn id="9" name="Độ ưu tiên"/>
    <tableColumn id="10" name="Giai đoạn triển khai"/>
  </tableColumns>
</table>
</file>

<file path=xl/tables/table2.xml><?xml version="1.0" encoding="utf-8"?>
<table xmlns="http://schemas.openxmlformats.org/spreadsheetml/2006/main" id="2" name="ThamKhaoGiaoDien" displayName="ThamKhaoGiaoDien" ref="A1:D6" headerRowCount="1" totalsRowCount="0" totalsRowShown="0">
  <autoFilter ref="A1:D6"/>
  <tableColumns count="4">
    <tableColumn id="1" name="Khu vực/Màn hình"/>
    <tableColumn id="2" name="Áp dụng cho module"/>
    <tableColumn id="3" name="Bố cục quan sát được (nguồn: taphuan.csdl.edu.vn)"/>
    <tableColumn id="4" name="Gợi ý áp dụng khi buil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30"/>
    <col collapsed="false" customWidth="true" hidden="false" outlineLevel="0" max="4" min="4" style="0" width="42"/>
    <col collapsed="false" customWidth="true" hidden="false" outlineLevel="0" max="5" min="5" style="0" width="24"/>
    <col collapsed="false" customWidth="true" hidden="false" outlineLevel="0" max="7" min="6" style="0" width="30"/>
    <col collapsed="false" customWidth="true" hidden="false" outlineLevel="0" max="8" min="8" style="0" width="40"/>
    <col collapsed="false" customWidth="true" hidden="false" outlineLevel="0" max="9" min="9" style="0" width="12"/>
    <col collapsed="false" customWidth="true" hidden="false" outlineLevel="0" max="10" min="10" style="0" width="1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42" hidden="false" customHeight="true" outlineLevel="0" collapsed="false">
      <c r="A2" s="2" t="s">
        <v>10</v>
      </c>
      <c r="B2" s="3" t="s">
        <v>11</v>
      </c>
      <c r="C2" s="3" t="s">
        <v>12</v>
      </c>
      <c r="D2" s="3" t="s">
        <v>13</v>
      </c>
      <c r="E2" s="3" t="s">
        <v>14</v>
      </c>
      <c r="F2" s="3" t="s">
        <v>15</v>
      </c>
      <c r="G2" s="3" t="s">
        <v>16</v>
      </c>
      <c r="H2" s="3" t="s">
        <v>17</v>
      </c>
      <c r="I2" s="4" t="s">
        <v>18</v>
      </c>
      <c r="J2" s="2" t="s">
        <v>19</v>
      </c>
    </row>
    <row r="3" customFormat="false" ht="42" hidden="false" customHeight="true" outlineLevel="0" collapsed="false">
      <c r="A3" s="5" t="s">
        <v>20</v>
      </c>
      <c r="B3" s="6" t="s">
        <v>11</v>
      </c>
      <c r="C3" s="6" t="s">
        <v>21</v>
      </c>
      <c r="D3" s="6" t="s">
        <v>22</v>
      </c>
      <c r="E3" s="6" t="s">
        <v>14</v>
      </c>
      <c r="F3" s="6" t="s">
        <v>23</v>
      </c>
      <c r="G3" s="6" t="s">
        <v>24</v>
      </c>
      <c r="H3" s="6" t="s">
        <v>25</v>
      </c>
      <c r="I3" s="7" t="s">
        <v>26</v>
      </c>
      <c r="J3" s="5" t="s">
        <v>19</v>
      </c>
    </row>
    <row r="4" customFormat="false" ht="42" hidden="false" customHeight="true" outlineLevel="0" collapsed="false">
      <c r="A4" s="2" t="s">
        <v>27</v>
      </c>
      <c r="B4" s="3" t="s">
        <v>11</v>
      </c>
      <c r="C4" s="3" t="s">
        <v>28</v>
      </c>
      <c r="D4" s="3" t="s">
        <v>29</v>
      </c>
      <c r="E4" s="3" t="s">
        <v>30</v>
      </c>
      <c r="F4" s="3" t="s">
        <v>31</v>
      </c>
      <c r="G4" s="3" t="s">
        <v>32</v>
      </c>
      <c r="H4" s="3" t="s">
        <v>33</v>
      </c>
      <c r="I4" s="7" t="s">
        <v>26</v>
      </c>
      <c r="J4" s="2" t="s">
        <v>19</v>
      </c>
    </row>
    <row r="5" customFormat="false" ht="42" hidden="false" customHeight="true" outlineLevel="0" collapsed="false">
      <c r="A5" s="5" t="s">
        <v>34</v>
      </c>
      <c r="B5" s="6" t="s">
        <v>11</v>
      </c>
      <c r="C5" s="6" t="s">
        <v>35</v>
      </c>
      <c r="D5" s="6" t="s">
        <v>36</v>
      </c>
      <c r="E5" s="6" t="s">
        <v>14</v>
      </c>
      <c r="F5" s="6" t="s">
        <v>37</v>
      </c>
      <c r="G5" s="6" t="s">
        <v>38</v>
      </c>
      <c r="H5" s="6" t="s">
        <v>39</v>
      </c>
      <c r="I5" s="7" t="s">
        <v>26</v>
      </c>
      <c r="J5" s="5" t="s">
        <v>19</v>
      </c>
    </row>
    <row r="6" customFormat="false" ht="42" hidden="false" customHeight="true" outlineLevel="0" collapsed="false">
      <c r="A6" s="2" t="s">
        <v>40</v>
      </c>
      <c r="B6" s="3" t="s">
        <v>11</v>
      </c>
      <c r="C6" s="3" t="s">
        <v>41</v>
      </c>
      <c r="D6" s="3" t="s">
        <v>42</v>
      </c>
      <c r="E6" s="3" t="s">
        <v>30</v>
      </c>
      <c r="F6" s="3" t="s">
        <v>43</v>
      </c>
      <c r="G6" s="3" t="s">
        <v>44</v>
      </c>
      <c r="H6" s="3" t="s">
        <v>45</v>
      </c>
      <c r="I6" s="8" t="s">
        <v>46</v>
      </c>
      <c r="J6" s="2" t="s">
        <v>19</v>
      </c>
    </row>
    <row r="7" customFormat="false" ht="42" hidden="false" customHeight="true" outlineLevel="0" collapsed="false">
      <c r="A7" s="5" t="s">
        <v>47</v>
      </c>
      <c r="B7" s="6" t="s">
        <v>48</v>
      </c>
      <c r="C7" s="6" t="s">
        <v>49</v>
      </c>
      <c r="D7" s="6" t="s">
        <v>50</v>
      </c>
      <c r="E7" s="6" t="s">
        <v>51</v>
      </c>
      <c r="F7" s="6" t="s">
        <v>52</v>
      </c>
      <c r="G7" s="6" t="s">
        <v>53</v>
      </c>
      <c r="H7" s="6" t="s">
        <v>54</v>
      </c>
      <c r="I7" s="4" t="s">
        <v>18</v>
      </c>
      <c r="J7" s="5" t="s">
        <v>19</v>
      </c>
    </row>
    <row r="8" customFormat="false" ht="42" hidden="false" customHeight="true" outlineLevel="0" collapsed="false">
      <c r="A8" s="2" t="s">
        <v>55</v>
      </c>
      <c r="B8" s="3" t="s">
        <v>48</v>
      </c>
      <c r="C8" s="3" t="s">
        <v>56</v>
      </c>
      <c r="D8" s="3" t="s">
        <v>57</v>
      </c>
      <c r="E8" s="3" t="s">
        <v>58</v>
      </c>
      <c r="F8" s="3" t="s">
        <v>59</v>
      </c>
      <c r="G8" s="3" t="s">
        <v>60</v>
      </c>
      <c r="H8" s="3" t="s">
        <v>61</v>
      </c>
      <c r="I8" s="4" t="s">
        <v>18</v>
      </c>
      <c r="J8" s="2" t="s">
        <v>19</v>
      </c>
    </row>
    <row r="9" customFormat="false" ht="42" hidden="false" customHeight="true" outlineLevel="0" collapsed="false">
      <c r="A9" s="5" t="s">
        <v>62</v>
      </c>
      <c r="B9" s="6" t="s">
        <v>48</v>
      </c>
      <c r="C9" s="6" t="s">
        <v>63</v>
      </c>
      <c r="D9" s="6" t="s">
        <v>64</v>
      </c>
      <c r="E9" s="6" t="s">
        <v>65</v>
      </c>
      <c r="F9" s="6" t="s">
        <v>66</v>
      </c>
      <c r="G9" s="6" t="s">
        <v>67</v>
      </c>
      <c r="H9" s="6" t="s">
        <v>68</v>
      </c>
      <c r="I9" s="4" t="s">
        <v>18</v>
      </c>
      <c r="J9" s="5" t="s">
        <v>19</v>
      </c>
    </row>
    <row r="10" customFormat="false" ht="42" hidden="false" customHeight="true" outlineLevel="0" collapsed="false">
      <c r="A10" s="2" t="s">
        <v>69</v>
      </c>
      <c r="B10" s="3" t="s">
        <v>48</v>
      </c>
      <c r="C10" s="3" t="s">
        <v>70</v>
      </c>
      <c r="D10" s="3" t="s">
        <v>71</v>
      </c>
      <c r="E10" s="3" t="s">
        <v>51</v>
      </c>
      <c r="F10" s="3" t="s">
        <v>72</v>
      </c>
      <c r="G10" s="3" t="s">
        <v>73</v>
      </c>
      <c r="H10" s="3" t="s">
        <v>74</v>
      </c>
      <c r="I10" s="7" t="s">
        <v>26</v>
      </c>
      <c r="J10" s="2" t="s">
        <v>19</v>
      </c>
    </row>
    <row r="11" customFormat="false" ht="42" hidden="false" customHeight="true" outlineLevel="0" collapsed="false">
      <c r="A11" s="5" t="s">
        <v>75</v>
      </c>
      <c r="B11" s="6" t="s">
        <v>48</v>
      </c>
      <c r="C11" s="6" t="s">
        <v>76</v>
      </c>
      <c r="D11" s="6" t="s">
        <v>77</v>
      </c>
      <c r="E11" s="6" t="s">
        <v>78</v>
      </c>
      <c r="F11" s="6" t="s">
        <v>79</v>
      </c>
      <c r="G11" s="6" t="s">
        <v>80</v>
      </c>
      <c r="H11" s="6" t="s">
        <v>81</v>
      </c>
      <c r="I11" s="7" t="s">
        <v>26</v>
      </c>
      <c r="J11" s="5" t="s">
        <v>19</v>
      </c>
    </row>
    <row r="12" customFormat="false" ht="42" hidden="false" customHeight="true" outlineLevel="0" collapsed="false">
      <c r="A12" s="2" t="s">
        <v>82</v>
      </c>
      <c r="B12" s="3" t="s">
        <v>48</v>
      </c>
      <c r="C12" s="3" t="s">
        <v>83</v>
      </c>
      <c r="D12" s="3" t="s">
        <v>84</v>
      </c>
      <c r="E12" s="3" t="s">
        <v>51</v>
      </c>
      <c r="F12" s="3" t="s">
        <v>85</v>
      </c>
      <c r="G12" s="3" t="s">
        <v>86</v>
      </c>
      <c r="H12" s="3" t="s">
        <v>87</v>
      </c>
      <c r="I12" s="8" t="s">
        <v>46</v>
      </c>
      <c r="J12" s="2" t="s">
        <v>88</v>
      </c>
    </row>
    <row r="13" customFormat="false" ht="42" hidden="false" customHeight="true" outlineLevel="0" collapsed="false">
      <c r="A13" s="5" t="s">
        <v>89</v>
      </c>
      <c r="B13" s="6" t="s">
        <v>48</v>
      </c>
      <c r="C13" s="6" t="s">
        <v>90</v>
      </c>
      <c r="D13" s="6" t="s">
        <v>91</v>
      </c>
      <c r="E13" s="6" t="s">
        <v>51</v>
      </c>
      <c r="F13" s="6" t="s">
        <v>92</v>
      </c>
      <c r="G13" s="6" t="s">
        <v>93</v>
      </c>
      <c r="H13" s="6" t="s">
        <v>94</v>
      </c>
      <c r="I13" s="4" t="s">
        <v>18</v>
      </c>
      <c r="J13" s="5" t="s">
        <v>19</v>
      </c>
    </row>
    <row r="14" customFormat="false" ht="42" hidden="false" customHeight="true" outlineLevel="0" collapsed="false">
      <c r="A14" s="2" t="s">
        <v>95</v>
      </c>
      <c r="B14" s="3" t="s">
        <v>96</v>
      </c>
      <c r="C14" s="3" t="s">
        <v>97</v>
      </c>
      <c r="D14" s="3" t="s">
        <v>98</v>
      </c>
      <c r="E14" s="3" t="s">
        <v>51</v>
      </c>
      <c r="F14" s="3" t="s">
        <v>99</v>
      </c>
      <c r="G14" s="3" t="s">
        <v>100</v>
      </c>
      <c r="H14" s="3" t="s">
        <v>101</v>
      </c>
      <c r="I14" s="4" t="s">
        <v>18</v>
      </c>
      <c r="J14" s="2" t="s">
        <v>19</v>
      </c>
    </row>
    <row r="15" customFormat="false" ht="42" hidden="false" customHeight="true" outlineLevel="0" collapsed="false">
      <c r="A15" s="5" t="s">
        <v>102</v>
      </c>
      <c r="B15" s="6" t="s">
        <v>96</v>
      </c>
      <c r="C15" s="6" t="s">
        <v>103</v>
      </c>
      <c r="D15" s="6" t="s">
        <v>104</v>
      </c>
      <c r="E15" s="6" t="s">
        <v>105</v>
      </c>
      <c r="F15" s="6" t="s">
        <v>106</v>
      </c>
      <c r="G15" s="6" t="s">
        <v>107</v>
      </c>
      <c r="H15" s="6" t="s">
        <v>108</v>
      </c>
      <c r="I15" s="4" t="s">
        <v>18</v>
      </c>
      <c r="J15" s="5" t="s">
        <v>19</v>
      </c>
    </row>
    <row r="16" customFormat="false" ht="42" hidden="false" customHeight="true" outlineLevel="0" collapsed="false">
      <c r="A16" s="2" t="s">
        <v>109</v>
      </c>
      <c r="B16" s="3" t="s">
        <v>96</v>
      </c>
      <c r="C16" s="3" t="s">
        <v>110</v>
      </c>
      <c r="D16" s="3" t="s">
        <v>111</v>
      </c>
      <c r="E16" s="3" t="s">
        <v>51</v>
      </c>
      <c r="F16" s="3" t="s">
        <v>112</v>
      </c>
      <c r="G16" s="3" t="s">
        <v>113</v>
      </c>
      <c r="H16" s="3" t="s">
        <v>114</v>
      </c>
      <c r="I16" s="4" t="s">
        <v>18</v>
      </c>
      <c r="J16" s="2" t="s">
        <v>19</v>
      </c>
    </row>
    <row r="17" customFormat="false" ht="42" hidden="false" customHeight="true" outlineLevel="0" collapsed="false">
      <c r="A17" s="5" t="s">
        <v>115</v>
      </c>
      <c r="B17" s="6" t="s">
        <v>96</v>
      </c>
      <c r="C17" s="6" t="s">
        <v>116</v>
      </c>
      <c r="D17" s="6" t="s">
        <v>117</v>
      </c>
      <c r="E17" s="6" t="s">
        <v>51</v>
      </c>
      <c r="F17" s="6" t="s">
        <v>118</v>
      </c>
      <c r="G17" s="6" t="s">
        <v>119</v>
      </c>
      <c r="H17" s="6" t="s">
        <v>120</v>
      </c>
      <c r="I17" s="4" t="s">
        <v>18</v>
      </c>
      <c r="J17" s="5" t="s">
        <v>19</v>
      </c>
    </row>
    <row r="18" customFormat="false" ht="42" hidden="false" customHeight="true" outlineLevel="0" collapsed="false">
      <c r="A18" s="2" t="s">
        <v>121</v>
      </c>
      <c r="B18" s="3" t="s">
        <v>96</v>
      </c>
      <c r="C18" s="3" t="s">
        <v>122</v>
      </c>
      <c r="D18" s="3" t="s">
        <v>123</v>
      </c>
      <c r="E18" s="3" t="s">
        <v>51</v>
      </c>
      <c r="F18" s="3" t="s">
        <v>124</v>
      </c>
      <c r="G18" s="3" t="s">
        <v>125</v>
      </c>
      <c r="H18" s="3" t="s">
        <v>126</v>
      </c>
      <c r="I18" s="4" t="s">
        <v>18</v>
      </c>
      <c r="J18" s="2" t="s">
        <v>19</v>
      </c>
    </row>
    <row r="19" customFormat="false" ht="42" hidden="false" customHeight="true" outlineLevel="0" collapsed="false">
      <c r="A19" s="5" t="s">
        <v>127</v>
      </c>
      <c r="B19" s="6" t="s">
        <v>96</v>
      </c>
      <c r="C19" s="6" t="s">
        <v>128</v>
      </c>
      <c r="D19" s="6" t="s">
        <v>129</v>
      </c>
      <c r="E19" s="6" t="s">
        <v>130</v>
      </c>
      <c r="F19" s="6" t="s">
        <v>131</v>
      </c>
      <c r="G19" s="6" t="s">
        <v>132</v>
      </c>
      <c r="H19" s="6" t="s">
        <v>133</v>
      </c>
      <c r="I19" s="7" t="s">
        <v>26</v>
      </c>
      <c r="J19" s="5" t="s">
        <v>19</v>
      </c>
    </row>
    <row r="20" customFormat="false" ht="42" hidden="false" customHeight="true" outlineLevel="0" collapsed="false">
      <c r="A20" s="2" t="s">
        <v>134</v>
      </c>
      <c r="B20" s="3" t="s">
        <v>135</v>
      </c>
      <c r="C20" s="3" t="s">
        <v>136</v>
      </c>
      <c r="D20" s="3" t="s">
        <v>137</v>
      </c>
      <c r="E20" s="3" t="s">
        <v>138</v>
      </c>
      <c r="F20" s="3" t="s">
        <v>139</v>
      </c>
      <c r="G20" s="3" t="s">
        <v>140</v>
      </c>
      <c r="H20" s="3" t="s">
        <v>141</v>
      </c>
      <c r="I20" s="4" t="s">
        <v>18</v>
      </c>
      <c r="J20" s="2" t="s">
        <v>19</v>
      </c>
    </row>
    <row r="21" customFormat="false" ht="42" hidden="false" customHeight="true" outlineLevel="0" collapsed="false">
      <c r="A21" s="5" t="s">
        <v>142</v>
      </c>
      <c r="B21" s="6" t="s">
        <v>135</v>
      </c>
      <c r="C21" s="6" t="s">
        <v>143</v>
      </c>
      <c r="D21" s="6" t="s">
        <v>144</v>
      </c>
      <c r="E21" s="6" t="s">
        <v>51</v>
      </c>
      <c r="F21" s="6" t="s">
        <v>145</v>
      </c>
      <c r="G21" s="6" t="s">
        <v>146</v>
      </c>
      <c r="H21" s="6" t="s">
        <v>147</v>
      </c>
      <c r="I21" s="4" t="s">
        <v>18</v>
      </c>
      <c r="J21" s="5" t="s">
        <v>19</v>
      </c>
    </row>
    <row r="22" customFormat="false" ht="42" hidden="false" customHeight="true" outlineLevel="0" collapsed="false">
      <c r="A22" s="2" t="s">
        <v>148</v>
      </c>
      <c r="B22" s="3" t="s">
        <v>135</v>
      </c>
      <c r="C22" s="3" t="s">
        <v>149</v>
      </c>
      <c r="D22" s="3" t="s">
        <v>150</v>
      </c>
      <c r="E22" s="3" t="s">
        <v>51</v>
      </c>
      <c r="F22" s="3" t="s">
        <v>151</v>
      </c>
      <c r="G22" s="3" t="s">
        <v>152</v>
      </c>
      <c r="H22" s="3" t="s">
        <v>153</v>
      </c>
      <c r="I22" s="4" t="s">
        <v>18</v>
      </c>
      <c r="J22" s="2" t="s">
        <v>19</v>
      </c>
    </row>
    <row r="23" customFormat="false" ht="42" hidden="false" customHeight="true" outlineLevel="0" collapsed="false">
      <c r="A23" s="5" t="s">
        <v>154</v>
      </c>
      <c r="B23" s="6" t="s">
        <v>135</v>
      </c>
      <c r="C23" s="6" t="s">
        <v>155</v>
      </c>
      <c r="D23" s="6" t="s">
        <v>156</v>
      </c>
      <c r="E23" s="6" t="s">
        <v>138</v>
      </c>
      <c r="F23" s="6" t="s">
        <v>157</v>
      </c>
      <c r="G23" s="6" t="s">
        <v>158</v>
      </c>
      <c r="H23" s="6" t="s">
        <v>159</v>
      </c>
      <c r="I23" s="4" t="s">
        <v>18</v>
      </c>
      <c r="J23" s="5" t="s">
        <v>19</v>
      </c>
    </row>
    <row r="24" customFormat="false" ht="42" hidden="false" customHeight="true" outlineLevel="0" collapsed="false">
      <c r="A24" s="2" t="s">
        <v>160</v>
      </c>
      <c r="B24" s="3" t="s">
        <v>135</v>
      </c>
      <c r="C24" s="3" t="s">
        <v>161</v>
      </c>
      <c r="D24" s="3" t="s">
        <v>162</v>
      </c>
      <c r="E24" s="3" t="s">
        <v>138</v>
      </c>
      <c r="F24" s="3" t="s">
        <v>163</v>
      </c>
      <c r="G24" s="3" t="s">
        <v>164</v>
      </c>
      <c r="H24" s="3" t="s">
        <v>165</v>
      </c>
      <c r="I24" s="4" t="s">
        <v>18</v>
      </c>
      <c r="J24" s="2" t="s">
        <v>19</v>
      </c>
    </row>
    <row r="25" customFormat="false" ht="42" hidden="false" customHeight="true" outlineLevel="0" collapsed="false">
      <c r="A25" s="5" t="s">
        <v>166</v>
      </c>
      <c r="B25" s="6" t="s">
        <v>135</v>
      </c>
      <c r="C25" s="6" t="s">
        <v>167</v>
      </c>
      <c r="D25" s="6" t="s">
        <v>168</v>
      </c>
      <c r="E25" s="6" t="s">
        <v>51</v>
      </c>
      <c r="F25" s="6" t="s">
        <v>169</v>
      </c>
      <c r="G25" s="6" t="s">
        <v>170</v>
      </c>
      <c r="H25" s="6" t="s">
        <v>171</v>
      </c>
      <c r="I25" s="4" t="s">
        <v>18</v>
      </c>
      <c r="J25" s="5" t="s">
        <v>19</v>
      </c>
    </row>
    <row r="26" customFormat="false" ht="42" hidden="false" customHeight="true" outlineLevel="0" collapsed="false">
      <c r="A26" s="2" t="s">
        <v>172</v>
      </c>
      <c r="B26" s="3" t="s">
        <v>135</v>
      </c>
      <c r="C26" s="3" t="s">
        <v>173</v>
      </c>
      <c r="D26" s="3" t="s">
        <v>174</v>
      </c>
      <c r="E26" s="3" t="s">
        <v>175</v>
      </c>
      <c r="F26" s="3" t="s">
        <v>176</v>
      </c>
      <c r="G26" s="3" t="s">
        <v>177</v>
      </c>
      <c r="H26" s="3" t="s">
        <v>178</v>
      </c>
      <c r="I26" s="4" t="s">
        <v>18</v>
      </c>
      <c r="J26" s="2" t="s">
        <v>19</v>
      </c>
    </row>
    <row r="27" customFormat="false" ht="42" hidden="false" customHeight="true" outlineLevel="0" collapsed="false">
      <c r="A27" s="5" t="s">
        <v>179</v>
      </c>
      <c r="B27" s="6" t="s">
        <v>135</v>
      </c>
      <c r="C27" s="6" t="s">
        <v>180</v>
      </c>
      <c r="D27" s="6" t="s">
        <v>181</v>
      </c>
      <c r="E27" s="6" t="s">
        <v>182</v>
      </c>
      <c r="F27" s="6" t="s">
        <v>183</v>
      </c>
      <c r="G27" s="6" t="s">
        <v>184</v>
      </c>
      <c r="H27" s="6" t="s">
        <v>185</v>
      </c>
      <c r="I27" s="4" t="s">
        <v>18</v>
      </c>
      <c r="J27" s="5" t="s">
        <v>19</v>
      </c>
    </row>
    <row r="28" customFormat="false" ht="42" hidden="false" customHeight="true" outlineLevel="0" collapsed="false">
      <c r="A28" s="2" t="s">
        <v>186</v>
      </c>
      <c r="B28" s="3" t="s">
        <v>135</v>
      </c>
      <c r="C28" s="3" t="s">
        <v>187</v>
      </c>
      <c r="D28" s="3" t="s">
        <v>188</v>
      </c>
      <c r="E28" s="3" t="s">
        <v>51</v>
      </c>
      <c r="F28" s="3" t="s">
        <v>189</v>
      </c>
      <c r="G28" s="3" t="s">
        <v>190</v>
      </c>
      <c r="H28" s="3" t="s">
        <v>191</v>
      </c>
      <c r="I28" s="7" t="s">
        <v>26</v>
      </c>
      <c r="J28" s="2" t="s">
        <v>19</v>
      </c>
    </row>
    <row r="29" customFormat="false" ht="42" hidden="false" customHeight="true" outlineLevel="0" collapsed="false">
      <c r="A29" s="5" t="s">
        <v>192</v>
      </c>
      <c r="B29" s="6" t="s">
        <v>135</v>
      </c>
      <c r="C29" s="6" t="s">
        <v>193</v>
      </c>
      <c r="D29" s="6" t="s">
        <v>194</v>
      </c>
      <c r="E29" s="6" t="s">
        <v>195</v>
      </c>
      <c r="F29" s="6" t="s">
        <v>196</v>
      </c>
      <c r="G29" s="6" t="s">
        <v>197</v>
      </c>
      <c r="H29" s="6" t="s">
        <v>198</v>
      </c>
      <c r="I29" s="7" t="s">
        <v>26</v>
      </c>
      <c r="J29" s="5" t="s">
        <v>88</v>
      </c>
    </row>
    <row r="30" customFormat="false" ht="42" hidden="false" customHeight="true" outlineLevel="0" collapsed="false">
      <c r="A30" s="2" t="s">
        <v>199</v>
      </c>
      <c r="B30" s="3" t="s">
        <v>135</v>
      </c>
      <c r="C30" s="3" t="s">
        <v>200</v>
      </c>
      <c r="D30" s="3" t="s">
        <v>201</v>
      </c>
      <c r="E30" s="3" t="s">
        <v>202</v>
      </c>
      <c r="F30" s="3" t="s">
        <v>203</v>
      </c>
      <c r="G30" s="3" t="s">
        <v>204</v>
      </c>
      <c r="H30" s="3" t="s">
        <v>205</v>
      </c>
      <c r="I30" s="4" t="s">
        <v>18</v>
      </c>
      <c r="J30" s="2" t="s">
        <v>88</v>
      </c>
    </row>
    <row r="31" customFormat="false" ht="42" hidden="false" customHeight="true" outlineLevel="0" collapsed="false">
      <c r="A31" s="5" t="s">
        <v>206</v>
      </c>
      <c r="B31" s="6" t="s">
        <v>135</v>
      </c>
      <c r="C31" s="6" t="s">
        <v>207</v>
      </c>
      <c r="D31" s="6" t="s">
        <v>208</v>
      </c>
      <c r="E31" s="6" t="s">
        <v>138</v>
      </c>
      <c r="F31" s="6" t="s">
        <v>209</v>
      </c>
      <c r="G31" s="6" t="s">
        <v>210</v>
      </c>
      <c r="H31" s="6" t="s">
        <v>211</v>
      </c>
      <c r="I31" s="4" t="s">
        <v>18</v>
      </c>
      <c r="J31" s="5" t="s">
        <v>88</v>
      </c>
    </row>
    <row r="32" customFormat="false" ht="42" hidden="false" customHeight="true" outlineLevel="0" collapsed="false">
      <c r="A32" s="2" t="s">
        <v>212</v>
      </c>
      <c r="B32" s="3" t="s">
        <v>213</v>
      </c>
      <c r="C32" s="3" t="s">
        <v>214</v>
      </c>
      <c r="D32" s="3" t="s">
        <v>215</v>
      </c>
      <c r="E32" s="3" t="s">
        <v>216</v>
      </c>
      <c r="F32" s="3" t="s">
        <v>217</v>
      </c>
      <c r="G32" s="3" t="s">
        <v>218</v>
      </c>
      <c r="H32" s="3" t="s">
        <v>219</v>
      </c>
      <c r="I32" s="4" t="s">
        <v>18</v>
      </c>
      <c r="J32" s="2" t="s">
        <v>88</v>
      </c>
    </row>
    <row r="33" customFormat="false" ht="42" hidden="false" customHeight="true" outlineLevel="0" collapsed="false">
      <c r="A33" s="5" t="s">
        <v>220</v>
      </c>
      <c r="B33" s="6" t="s">
        <v>213</v>
      </c>
      <c r="C33" s="6" t="s">
        <v>221</v>
      </c>
      <c r="D33" s="6" t="s">
        <v>222</v>
      </c>
      <c r="E33" s="6" t="s">
        <v>216</v>
      </c>
      <c r="F33" s="6" t="s">
        <v>223</v>
      </c>
      <c r="G33" s="6" t="s">
        <v>224</v>
      </c>
      <c r="H33" s="6" t="s">
        <v>225</v>
      </c>
      <c r="I33" s="8" t="s">
        <v>46</v>
      </c>
      <c r="J33" s="5" t="s">
        <v>88</v>
      </c>
    </row>
    <row r="34" customFormat="false" ht="42" hidden="false" customHeight="true" outlineLevel="0" collapsed="false">
      <c r="A34" s="2" t="s">
        <v>226</v>
      </c>
      <c r="B34" s="3" t="s">
        <v>213</v>
      </c>
      <c r="C34" s="3" t="s">
        <v>227</v>
      </c>
      <c r="D34" s="3" t="s">
        <v>228</v>
      </c>
      <c r="E34" s="3" t="s">
        <v>51</v>
      </c>
      <c r="F34" s="3" t="s">
        <v>229</v>
      </c>
      <c r="G34" s="3" t="s">
        <v>230</v>
      </c>
      <c r="H34" s="3" t="s">
        <v>231</v>
      </c>
      <c r="I34" s="7" t="s">
        <v>26</v>
      </c>
      <c r="J34" s="2" t="s">
        <v>88</v>
      </c>
    </row>
    <row r="35" customFormat="false" ht="42" hidden="false" customHeight="true" outlineLevel="0" collapsed="false">
      <c r="A35" s="5" t="s">
        <v>232</v>
      </c>
      <c r="B35" s="6" t="s">
        <v>213</v>
      </c>
      <c r="C35" s="6" t="s">
        <v>233</v>
      </c>
      <c r="D35" s="6" t="s">
        <v>234</v>
      </c>
      <c r="E35" s="6" t="s">
        <v>216</v>
      </c>
      <c r="F35" s="6" t="s">
        <v>235</v>
      </c>
      <c r="G35" s="6" t="s">
        <v>236</v>
      </c>
      <c r="H35" s="6" t="s">
        <v>237</v>
      </c>
      <c r="I35" s="8" t="s">
        <v>46</v>
      </c>
      <c r="J35" s="5" t="s">
        <v>238</v>
      </c>
    </row>
    <row r="36" customFormat="false" ht="42" hidden="false" customHeight="true" outlineLevel="0" collapsed="false">
      <c r="A36" s="2" t="s">
        <v>239</v>
      </c>
      <c r="B36" s="3" t="s">
        <v>213</v>
      </c>
      <c r="C36" s="3" t="s">
        <v>240</v>
      </c>
      <c r="D36" s="3" t="s">
        <v>241</v>
      </c>
      <c r="E36" s="3" t="s">
        <v>242</v>
      </c>
      <c r="F36" s="3" t="s">
        <v>243</v>
      </c>
      <c r="G36" s="3" t="s">
        <v>244</v>
      </c>
      <c r="H36" s="3" t="s">
        <v>245</v>
      </c>
      <c r="I36" s="7" t="s">
        <v>26</v>
      </c>
      <c r="J36" s="2" t="s">
        <v>88</v>
      </c>
    </row>
    <row r="37" customFormat="false" ht="42" hidden="false" customHeight="true" outlineLevel="0" collapsed="false">
      <c r="A37" s="5" t="s">
        <v>246</v>
      </c>
      <c r="B37" s="6" t="s">
        <v>247</v>
      </c>
      <c r="C37" s="6" t="s">
        <v>248</v>
      </c>
      <c r="D37" s="6" t="s">
        <v>249</v>
      </c>
      <c r="E37" s="6" t="s">
        <v>216</v>
      </c>
      <c r="F37" s="6" t="s">
        <v>250</v>
      </c>
      <c r="G37" s="6" t="s">
        <v>251</v>
      </c>
      <c r="H37" s="6" t="s">
        <v>252</v>
      </c>
      <c r="I37" s="4" t="s">
        <v>18</v>
      </c>
      <c r="J37" s="5" t="s">
        <v>88</v>
      </c>
    </row>
    <row r="38" customFormat="false" ht="42" hidden="false" customHeight="true" outlineLevel="0" collapsed="false">
      <c r="A38" s="2" t="s">
        <v>253</v>
      </c>
      <c r="B38" s="3" t="s">
        <v>247</v>
      </c>
      <c r="C38" s="3" t="s">
        <v>254</v>
      </c>
      <c r="D38" s="3" t="s">
        <v>255</v>
      </c>
      <c r="E38" s="3" t="s">
        <v>256</v>
      </c>
      <c r="F38" s="3" t="s">
        <v>257</v>
      </c>
      <c r="G38" s="3" t="s">
        <v>258</v>
      </c>
      <c r="H38" s="3" t="s">
        <v>259</v>
      </c>
      <c r="I38" s="4" t="s">
        <v>18</v>
      </c>
      <c r="J38" s="2" t="s">
        <v>88</v>
      </c>
    </row>
    <row r="39" customFormat="false" ht="42" hidden="false" customHeight="true" outlineLevel="0" collapsed="false">
      <c r="A39" s="5" t="s">
        <v>260</v>
      </c>
      <c r="B39" s="6" t="s">
        <v>247</v>
      </c>
      <c r="C39" s="6" t="s">
        <v>261</v>
      </c>
      <c r="D39" s="6" t="s">
        <v>262</v>
      </c>
      <c r="E39" s="6" t="s">
        <v>263</v>
      </c>
      <c r="F39" s="6" t="s">
        <v>264</v>
      </c>
      <c r="G39" s="6" t="s">
        <v>265</v>
      </c>
      <c r="H39" s="6" t="s">
        <v>266</v>
      </c>
      <c r="I39" s="4" t="s">
        <v>18</v>
      </c>
      <c r="J39" s="5" t="s">
        <v>88</v>
      </c>
    </row>
    <row r="40" customFormat="false" ht="42" hidden="false" customHeight="true" outlineLevel="0" collapsed="false">
      <c r="A40" s="2" t="s">
        <v>267</v>
      </c>
      <c r="B40" s="3" t="s">
        <v>247</v>
      </c>
      <c r="C40" s="3" t="s">
        <v>268</v>
      </c>
      <c r="D40" s="3" t="s">
        <v>269</v>
      </c>
      <c r="E40" s="3" t="s">
        <v>270</v>
      </c>
      <c r="F40" s="3" t="s">
        <v>271</v>
      </c>
      <c r="G40" s="3" t="s">
        <v>272</v>
      </c>
      <c r="H40" s="3" t="s">
        <v>273</v>
      </c>
      <c r="I40" s="4" t="s">
        <v>18</v>
      </c>
      <c r="J40" s="2" t="s">
        <v>88</v>
      </c>
    </row>
    <row r="41" customFormat="false" ht="42" hidden="false" customHeight="true" outlineLevel="0" collapsed="false">
      <c r="A41" s="5" t="s">
        <v>274</v>
      </c>
      <c r="B41" s="6" t="s">
        <v>247</v>
      </c>
      <c r="C41" s="6" t="s">
        <v>275</v>
      </c>
      <c r="D41" s="6" t="s">
        <v>276</v>
      </c>
      <c r="E41" s="6" t="s">
        <v>138</v>
      </c>
      <c r="F41" s="6" t="s">
        <v>277</v>
      </c>
      <c r="G41" s="6" t="s">
        <v>278</v>
      </c>
      <c r="H41" s="6" t="s">
        <v>279</v>
      </c>
      <c r="I41" s="7" t="s">
        <v>26</v>
      </c>
      <c r="J41" s="5" t="s">
        <v>88</v>
      </c>
    </row>
    <row r="42" customFormat="false" ht="42" hidden="false" customHeight="true" outlineLevel="0" collapsed="false">
      <c r="A42" s="2" t="s">
        <v>280</v>
      </c>
      <c r="B42" s="3" t="s">
        <v>247</v>
      </c>
      <c r="C42" s="3" t="s">
        <v>281</v>
      </c>
      <c r="D42" s="3" t="s">
        <v>282</v>
      </c>
      <c r="E42" s="3" t="s">
        <v>51</v>
      </c>
      <c r="F42" s="3" t="s">
        <v>283</v>
      </c>
      <c r="G42" s="3" t="s">
        <v>284</v>
      </c>
      <c r="H42" s="3" t="s">
        <v>285</v>
      </c>
      <c r="I42" s="4" t="s">
        <v>18</v>
      </c>
      <c r="J42" s="2" t="s">
        <v>88</v>
      </c>
    </row>
    <row r="43" customFormat="false" ht="42" hidden="false" customHeight="true" outlineLevel="0" collapsed="false">
      <c r="A43" s="5" t="s">
        <v>286</v>
      </c>
      <c r="B43" s="6" t="s">
        <v>287</v>
      </c>
      <c r="C43" s="6" t="s">
        <v>288</v>
      </c>
      <c r="D43" s="6" t="s">
        <v>289</v>
      </c>
      <c r="E43" s="6" t="s">
        <v>263</v>
      </c>
      <c r="F43" s="6" t="s">
        <v>290</v>
      </c>
      <c r="G43" s="6" t="s">
        <v>291</v>
      </c>
      <c r="H43" s="6" t="s">
        <v>292</v>
      </c>
      <c r="I43" s="4" t="s">
        <v>18</v>
      </c>
      <c r="J43" s="5" t="s">
        <v>88</v>
      </c>
    </row>
    <row r="44" customFormat="false" ht="42" hidden="false" customHeight="true" outlineLevel="0" collapsed="false">
      <c r="A44" s="2" t="s">
        <v>293</v>
      </c>
      <c r="B44" s="3" t="s">
        <v>287</v>
      </c>
      <c r="C44" s="3" t="s">
        <v>294</v>
      </c>
      <c r="D44" s="3" t="s">
        <v>295</v>
      </c>
      <c r="E44" s="3" t="s">
        <v>296</v>
      </c>
      <c r="F44" s="3" t="s">
        <v>297</v>
      </c>
      <c r="G44" s="3" t="s">
        <v>298</v>
      </c>
      <c r="H44" s="3" t="s">
        <v>299</v>
      </c>
      <c r="I44" s="4" t="s">
        <v>18</v>
      </c>
      <c r="J44" s="2" t="s">
        <v>88</v>
      </c>
    </row>
    <row r="45" customFormat="false" ht="42" hidden="false" customHeight="true" outlineLevel="0" collapsed="false">
      <c r="A45" s="5" t="s">
        <v>300</v>
      </c>
      <c r="B45" s="6" t="s">
        <v>287</v>
      </c>
      <c r="C45" s="6" t="s">
        <v>301</v>
      </c>
      <c r="D45" s="6" t="s">
        <v>302</v>
      </c>
      <c r="E45" s="6" t="s">
        <v>296</v>
      </c>
      <c r="F45" s="6" t="s">
        <v>303</v>
      </c>
      <c r="G45" s="6" t="s">
        <v>304</v>
      </c>
      <c r="H45" s="6" t="s">
        <v>305</v>
      </c>
      <c r="I45" s="7" t="s">
        <v>26</v>
      </c>
      <c r="J45" s="5" t="s">
        <v>88</v>
      </c>
    </row>
    <row r="46" customFormat="false" ht="42" hidden="false" customHeight="true" outlineLevel="0" collapsed="false">
      <c r="A46" s="2" t="s">
        <v>306</v>
      </c>
      <c r="B46" s="3" t="s">
        <v>287</v>
      </c>
      <c r="C46" s="3" t="s">
        <v>307</v>
      </c>
      <c r="D46" s="3" t="s">
        <v>308</v>
      </c>
      <c r="E46" s="3" t="s">
        <v>296</v>
      </c>
      <c r="F46" s="3" t="s">
        <v>309</v>
      </c>
      <c r="G46" s="3" t="s">
        <v>310</v>
      </c>
      <c r="H46" s="3" t="s">
        <v>311</v>
      </c>
      <c r="I46" s="7" t="s">
        <v>26</v>
      </c>
      <c r="J46" s="2" t="s">
        <v>88</v>
      </c>
    </row>
    <row r="47" customFormat="false" ht="42" hidden="false" customHeight="true" outlineLevel="0" collapsed="false">
      <c r="A47" s="5" t="s">
        <v>312</v>
      </c>
      <c r="B47" s="6" t="s">
        <v>287</v>
      </c>
      <c r="C47" s="6" t="s">
        <v>313</v>
      </c>
      <c r="D47" s="6" t="s">
        <v>314</v>
      </c>
      <c r="E47" s="6" t="s">
        <v>315</v>
      </c>
      <c r="F47" s="6" t="s">
        <v>316</v>
      </c>
      <c r="G47" s="6" t="s">
        <v>317</v>
      </c>
      <c r="H47" s="6" t="s">
        <v>318</v>
      </c>
      <c r="I47" s="7" t="s">
        <v>26</v>
      </c>
      <c r="J47" s="5" t="s">
        <v>88</v>
      </c>
    </row>
    <row r="48" customFormat="false" ht="42" hidden="false" customHeight="true" outlineLevel="0" collapsed="false">
      <c r="A48" s="2" t="s">
        <v>319</v>
      </c>
      <c r="B48" s="3" t="s">
        <v>287</v>
      </c>
      <c r="C48" s="3" t="s">
        <v>320</v>
      </c>
      <c r="D48" s="3" t="s">
        <v>321</v>
      </c>
      <c r="E48" s="3" t="s">
        <v>322</v>
      </c>
      <c r="F48" s="3" t="s">
        <v>323</v>
      </c>
      <c r="G48" s="3" t="s">
        <v>324</v>
      </c>
      <c r="H48" s="3" t="s">
        <v>325</v>
      </c>
      <c r="I48" s="4" t="s">
        <v>18</v>
      </c>
      <c r="J48" s="2" t="s">
        <v>88</v>
      </c>
    </row>
    <row r="49" customFormat="false" ht="42" hidden="false" customHeight="true" outlineLevel="0" collapsed="false">
      <c r="A49" s="5" t="s">
        <v>326</v>
      </c>
      <c r="B49" s="6" t="s">
        <v>327</v>
      </c>
      <c r="C49" s="6" t="s">
        <v>328</v>
      </c>
      <c r="D49" s="6" t="s">
        <v>329</v>
      </c>
      <c r="E49" s="6" t="s">
        <v>51</v>
      </c>
      <c r="F49" s="6" t="s">
        <v>330</v>
      </c>
      <c r="G49" s="6" t="s">
        <v>331</v>
      </c>
      <c r="H49" s="6" t="s">
        <v>332</v>
      </c>
      <c r="I49" s="4" t="s">
        <v>18</v>
      </c>
      <c r="J49" s="5" t="s">
        <v>88</v>
      </c>
    </row>
    <row r="50" customFormat="false" ht="42" hidden="false" customHeight="true" outlineLevel="0" collapsed="false">
      <c r="A50" s="2" t="s">
        <v>333</v>
      </c>
      <c r="B50" s="3" t="s">
        <v>327</v>
      </c>
      <c r="C50" s="3" t="s">
        <v>334</v>
      </c>
      <c r="D50" s="3" t="s">
        <v>335</v>
      </c>
      <c r="E50" s="3" t="s">
        <v>51</v>
      </c>
      <c r="F50" s="3" t="s">
        <v>336</v>
      </c>
      <c r="G50" s="3" t="s">
        <v>337</v>
      </c>
      <c r="H50" s="3" t="s">
        <v>338</v>
      </c>
      <c r="I50" s="4" t="s">
        <v>18</v>
      </c>
      <c r="J50" s="2" t="s">
        <v>88</v>
      </c>
    </row>
    <row r="51" customFormat="false" ht="42" hidden="false" customHeight="true" outlineLevel="0" collapsed="false">
      <c r="A51" s="5" t="s">
        <v>339</v>
      </c>
      <c r="B51" s="6" t="s">
        <v>327</v>
      </c>
      <c r="C51" s="6" t="s">
        <v>340</v>
      </c>
      <c r="D51" s="6" t="s">
        <v>341</v>
      </c>
      <c r="E51" s="6" t="s">
        <v>342</v>
      </c>
      <c r="F51" s="6" t="s">
        <v>343</v>
      </c>
      <c r="G51" s="6" t="s">
        <v>344</v>
      </c>
      <c r="H51" s="6" t="s">
        <v>345</v>
      </c>
      <c r="I51" s="4" t="s">
        <v>18</v>
      </c>
      <c r="J51" s="5" t="s">
        <v>88</v>
      </c>
    </row>
    <row r="52" customFormat="false" ht="42" hidden="false" customHeight="true" outlineLevel="0" collapsed="false">
      <c r="A52" s="2" t="s">
        <v>346</v>
      </c>
      <c r="B52" s="3" t="s">
        <v>327</v>
      </c>
      <c r="C52" s="3" t="s">
        <v>347</v>
      </c>
      <c r="D52" s="3" t="s">
        <v>348</v>
      </c>
      <c r="E52" s="3" t="s">
        <v>51</v>
      </c>
      <c r="F52" s="3" t="s">
        <v>349</v>
      </c>
      <c r="G52" s="3" t="s">
        <v>350</v>
      </c>
      <c r="H52" s="3" t="s">
        <v>351</v>
      </c>
      <c r="I52" s="7" t="s">
        <v>26</v>
      </c>
      <c r="J52" s="2" t="s">
        <v>88</v>
      </c>
    </row>
    <row r="53" customFormat="false" ht="42" hidden="false" customHeight="true" outlineLevel="0" collapsed="false">
      <c r="A53" s="5" t="s">
        <v>352</v>
      </c>
      <c r="B53" s="6" t="s">
        <v>327</v>
      </c>
      <c r="C53" s="6" t="s">
        <v>353</v>
      </c>
      <c r="D53" s="6" t="s">
        <v>354</v>
      </c>
      <c r="E53" s="6" t="s">
        <v>355</v>
      </c>
      <c r="F53" s="6" t="s">
        <v>356</v>
      </c>
      <c r="G53" s="6" t="s">
        <v>357</v>
      </c>
      <c r="H53" s="6" t="s">
        <v>358</v>
      </c>
      <c r="I53" s="8" t="s">
        <v>46</v>
      </c>
      <c r="J53" s="5" t="s">
        <v>238</v>
      </c>
    </row>
    <row r="54" customFormat="false" ht="42" hidden="false" customHeight="true" outlineLevel="0" collapsed="false">
      <c r="A54" s="2" t="s">
        <v>359</v>
      </c>
      <c r="B54" s="3" t="s">
        <v>360</v>
      </c>
      <c r="C54" s="3" t="s">
        <v>361</v>
      </c>
      <c r="D54" s="3" t="s">
        <v>362</v>
      </c>
      <c r="E54" s="3" t="s">
        <v>363</v>
      </c>
      <c r="F54" s="3" t="s">
        <v>364</v>
      </c>
      <c r="G54" s="3" t="s">
        <v>365</v>
      </c>
      <c r="H54" s="3" t="s">
        <v>366</v>
      </c>
      <c r="I54" s="4" t="s">
        <v>18</v>
      </c>
      <c r="J54" s="2" t="s">
        <v>238</v>
      </c>
    </row>
    <row r="55" customFormat="false" ht="42" hidden="false" customHeight="true" outlineLevel="0" collapsed="false">
      <c r="A55" s="5" t="s">
        <v>367</v>
      </c>
      <c r="B55" s="6" t="s">
        <v>360</v>
      </c>
      <c r="C55" s="6" t="s">
        <v>368</v>
      </c>
      <c r="D55" s="6" t="s">
        <v>369</v>
      </c>
      <c r="E55" s="6" t="s">
        <v>51</v>
      </c>
      <c r="F55" s="6" t="s">
        <v>370</v>
      </c>
      <c r="G55" s="6" t="s">
        <v>371</v>
      </c>
      <c r="H55" s="6" t="s">
        <v>372</v>
      </c>
      <c r="I55" s="4" t="s">
        <v>18</v>
      </c>
      <c r="J55" s="5" t="s">
        <v>88</v>
      </c>
    </row>
    <row r="56" customFormat="false" ht="42" hidden="false" customHeight="true" outlineLevel="0" collapsed="false">
      <c r="A56" s="2" t="s">
        <v>373</v>
      </c>
      <c r="B56" s="3" t="s">
        <v>360</v>
      </c>
      <c r="C56" s="3" t="s">
        <v>374</v>
      </c>
      <c r="D56" s="3" t="s">
        <v>375</v>
      </c>
      <c r="E56" s="3" t="s">
        <v>315</v>
      </c>
      <c r="F56" s="3" t="s">
        <v>376</v>
      </c>
      <c r="G56" s="3" t="s">
        <v>377</v>
      </c>
      <c r="H56" s="3" t="s">
        <v>378</v>
      </c>
      <c r="I56" s="4" t="s">
        <v>18</v>
      </c>
      <c r="J56" s="2" t="s">
        <v>88</v>
      </c>
    </row>
    <row r="57" customFormat="false" ht="42" hidden="false" customHeight="true" outlineLevel="0" collapsed="false">
      <c r="A57" s="5" t="s">
        <v>379</v>
      </c>
      <c r="B57" s="6" t="s">
        <v>360</v>
      </c>
      <c r="C57" s="6" t="s">
        <v>380</v>
      </c>
      <c r="D57" s="6" t="s">
        <v>381</v>
      </c>
      <c r="E57" s="6" t="s">
        <v>130</v>
      </c>
      <c r="F57" s="6" t="s">
        <v>382</v>
      </c>
      <c r="G57" s="6" t="s">
        <v>383</v>
      </c>
      <c r="H57" s="6" t="s">
        <v>384</v>
      </c>
      <c r="I57" s="7" t="s">
        <v>26</v>
      </c>
      <c r="J57" s="5" t="s">
        <v>238</v>
      </c>
    </row>
    <row r="58" customFormat="false" ht="42" hidden="false" customHeight="true" outlineLevel="0" collapsed="false">
      <c r="A58" s="2" t="s">
        <v>385</v>
      </c>
      <c r="B58" s="3" t="s">
        <v>360</v>
      </c>
      <c r="C58" s="3" t="s">
        <v>386</v>
      </c>
      <c r="D58" s="3" t="s">
        <v>387</v>
      </c>
      <c r="E58" s="3" t="s">
        <v>388</v>
      </c>
      <c r="F58" s="3" t="s">
        <v>389</v>
      </c>
      <c r="G58" s="3" t="s">
        <v>390</v>
      </c>
      <c r="H58" s="3" t="s">
        <v>391</v>
      </c>
      <c r="I58" s="7" t="s">
        <v>26</v>
      </c>
      <c r="J58" s="2" t="s">
        <v>238</v>
      </c>
    </row>
    <row r="59" customFormat="false" ht="42" hidden="false" customHeight="true" outlineLevel="0" collapsed="false">
      <c r="A59" s="5" t="s">
        <v>392</v>
      </c>
      <c r="B59" s="6" t="s">
        <v>393</v>
      </c>
      <c r="C59" s="6" t="s">
        <v>394</v>
      </c>
      <c r="D59" s="6" t="s">
        <v>395</v>
      </c>
      <c r="E59" s="6" t="s">
        <v>14</v>
      </c>
      <c r="F59" s="6" t="s">
        <v>396</v>
      </c>
      <c r="G59" s="6" t="s">
        <v>397</v>
      </c>
      <c r="H59" s="6" t="s">
        <v>398</v>
      </c>
      <c r="I59" s="4" t="s">
        <v>18</v>
      </c>
      <c r="J59" s="5" t="s">
        <v>19</v>
      </c>
    </row>
    <row r="60" customFormat="false" ht="42" hidden="false" customHeight="true" outlineLevel="0" collapsed="false">
      <c r="A60" s="2" t="s">
        <v>399</v>
      </c>
      <c r="B60" s="3" t="s">
        <v>393</v>
      </c>
      <c r="C60" s="3" t="s">
        <v>400</v>
      </c>
      <c r="D60" s="3" t="s">
        <v>401</v>
      </c>
      <c r="E60" s="3" t="s">
        <v>14</v>
      </c>
      <c r="F60" s="3" t="s">
        <v>402</v>
      </c>
      <c r="G60" s="3" t="s">
        <v>403</v>
      </c>
      <c r="H60" s="3" t="s">
        <v>404</v>
      </c>
      <c r="I60" s="4" t="s">
        <v>18</v>
      </c>
      <c r="J60" s="2" t="s">
        <v>19</v>
      </c>
    </row>
    <row r="61" customFormat="false" ht="42" hidden="false" customHeight="true" outlineLevel="0" collapsed="false">
      <c r="A61" s="5" t="s">
        <v>405</v>
      </c>
      <c r="B61" s="6" t="s">
        <v>393</v>
      </c>
      <c r="C61" s="6" t="s">
        <v>406</v>
      </c>
      <c r="D61" s="6" t="s">
        <v>407</v>
      </c>
      <c r="E61" s="6" t="s">
        <v>195</v>
      </c>
      <c r="F61" s="6" t="s">
        <v>408</v>
      </c>
      <c r="G61" s="6" t="s">
        <v>409</v>
      </c>
      <c r="H61" s="6" t="s">
        <v>410</v>
      </c>
      <c r="I61" s="7" t="s">
        <v>26</v>
      </c>
      <c r="J61" s="5" t="s">
        <v>88</v>
      </c>
    </row>
    <row r="62" customFormat="false" ht="42" hidden="false" customHeight="true" outlineLevel="0" collapsed="false">
      <c r="A62" s="2" t="s">
        <v>411</v>
      </c>
      <c r="B62" s="3" t="s">
        <v>393</v>
      </c>
      <c r="C62" s="3" t="s">
        <v>412</v>
      </c>
      <c r="D62" s="3" t="s">
        <v>413</v>
      </c>
      <c r="E62" s="3" t="s">
        <v>14</v>
      </c>
      <c r="F62" s="3" t="s">
        <v>414</v>
      </c>
      <c r="G62" s="3" t="s">
        <v>415</v>
      </c>
      <c r="H62" s="3" t="s">
        <v>416</v>
      </c>
      <c r="I62" s="4" t="s">
        <v>18</v>
      </c>
      <c r="J62" s="2" t="s">
        <v>19</v>
      </c>
    </row>
    <row r="63" customFormat="false" ht="42" hidden="false" customHeight="true" outlineLevel="0" collapsed="false">
      <c r="A63" s="5" t="s">
        <v>417</v>
      </c>
      <c r="B63" s="6" t="s">
        <v>393</v>
      </c>
      <c r="C63" s="6" t="s">
        <v>418</v>
      </c>
      <c r="D63" s="6" t="s">
        <v>419</v>
      </c>
      <c r="E63" s="6" t="s">
        <v>14</v>
      </c>
      <c r="F63" s="6" t="s">
        <v>420</v>
      </c>
      <c r="G63" s="6" t="s">
        <v>421</v>
      </c>
      <c r="H63" s="6" t="s">
        <v>422</v>
      </c>
      <c r="I63" s="8" t="s">
        <v>46</v>
      </c>
      <c r="J63" s="5" t="s">
        <v>88</v>
      </c>
    </row>
    <row r="64" customFormat="false" ht="42" hidden="false" customHeight="true" outlineLevel="0" collapsed="false">
      <c r="A64" s="2" t="s">
        <v>423</v>
      </c>
      <c r="B64" s="3" t="s">
        <v>424</v>
      </c>
      <c r="C64" s="3" t="s">
        <v>425</v>
      </c>
      <c r="D64" s="3" t="s">
        <v>426</v>
      </c>
      <c r="E64" s="3" t="s">
        <v>30</v>
      </c>
      <c r="F64" s="3" t="s">
        <v>427</v>
      </c>
      <c r="G64" s="3" t="s">
        <v>428</v>
      </c>
      <c r="H64" s="3" t="s">
        <v>429</v>
      </c>
      <c r="I64" s="4" t="s">
        <v>18</v>
      </c>
      <c r="J64" s="2" t="s">
        <v>88</v>
      </c>
    </row>
    <row r="65" customFormat="false" ht="42" hidden="false" customHeight="true" outlineLevel="0" collapsed="false">
      <c r="A65" s="5" t="s">
        <v>430</v>
      </c>
      <c r="B65" s="6" t="s">
        <v>424</v>
      </c>
      <c r="C65" s="6" t="s">
        <v>431</v>
      </c>
      <c r="D65" s="6" t="s">
        <v>432</v>
      </c>
      <c r="E65" s="6" t="s">
        <v>14</v>
      </c>
      <c r="F65" s="6" t="s">
        <v>433</v>
      </c>
      <c r="G65" s="6" t="s">
        <v>434</v>
      </c>
      <c r="H65" s="6" t="s">
        <v>435</v>
      </c>
      <c r="I65" s="4" t="s">
        <v>18</v>
      </c>
      <c r="J65" s="5" t="s">
        <v>88</v>
      </c>
    </row>
    <row r="66" customFormat="false" ht="42" hidden="false" customHeight="true" outlineLevel="0" collapsed="false">
      <c r="A66" s="2" t="s">
        <v>436</v>
      </c>
      <c r="B66" s="3" t="s">
        <v>424</v>
      </c>
      <c r="C66" s="3" t="s">
        <v>437</v>
      </c>
      <c r="D66" s="3" t="s">
        <v>438</v>
      </c>
      <c r="E66" s="3" t="s">
        <v>263</v>
      </c>
      <c r="F66" s="3" t="s">
        <v>439</v>
      </c>
      <c r="G66" s="3" t="s">
        <v>440</v>
      </c>
      <c r="H66" s="3" t="s">
        <v>441</v>
      </c>
      <c r="I66" s="4" t="s">
        <v>18</v>
      </c>
      <c r="J66" s="2" t="s">
        <v>88</v>
      </c>
    </row>
    <row r="67" customFormat="false" ht="42" hidden="false" customHeight="true" outlineLevel="0" collapsed="false">
      <c r="A67" s="5" t="s">
        <v>442</v>
      </c>
      <c r="B67" s="6" t="s">
        <v>424</v>
      </c>
      <c r="C67" s="6" t="s">
        <v>443</v>
      </c>
      <c r="D67" s="6" t="s">
        <v>444</v>
      </c>
      <c r="E67" s="6" t="s">
        <v>445</v>
      </c>
      <c r="F67" s="6" t="s">
        <v>446</v>
      </c>
      <c r="G67" s="6" t="s">
        <v>447</v>
      </c>
      <c r="H67" s="6" t="s">
        <v>448</v>
      </c>
      <c r="I67" s="4" t="s">
        <v>18</v>
      </c>
      <c r="J67" s="5" t="s">
        <v>88</v>
      </c>
    </row>
    <row r="68" customFormat="false" ht="42" hidden="false" customHeight="true" outlineLevel="0" collapsed="false">
      <c r="A68" s="2" t="s">
        <v>449</v>
      </c>
      <c r="B68" s="3" t="s">
        <v>424</v>
      </c>
      <c r="C68" s="3" t="s">
        <v>450</v>
      </c>
      <c r="D68" s="3" t="s">
        <v>451</v>
      </c>
      <c r="E68" s="3" t="s">
        <v>452</v>
      </c>
      <c r="F68" s="3" t="s">
        <v>453</v>
      </c>
      <c r="G68" s="3" t="s">
        <v>146</v>
      </c>
      <c r="H68" s="3" t="s">
        <v>454</v>
      </c>
      <c r="I68" s="7" t="s">
        <v>26</v>
      </c>
      <c r="J68" s="2" t="s">
        <v>88</v>
      </c>
    </row>
    <row r="69" customFormat="false" ht="42" hidden="false" customHeight="true" outlineLevel="0" collapsed="false">
      <c r="A69" s="5" t="s">
        <v>455</v>
      </c>
      <c r="B69" s="6" t="s">
        <v>424</v>
      </c>
      <c r="C69" s="6" t="s">
        <v>456</v>
      </c>
      <c r="D69" s="6" t="s">
        <v>457</v>
      </c>
      <c r="E69" s="6" t="s">
        <v>296</v>
      </c>
      <c r="F69" s="6" t="s">
        <v>458</v>
      </c>
      <c r="G69" s="6" t="s">
        <v>459</v>
      </c>
      <c r="H69" s="6" t="s">
        <v>460</v>
      </c>
      <c r="I69" s="4" t="s">
        <v>18</v>
      </c>
      <c r="J69" s="5" t="s">
        <v>88</v>
      </c>
    </row>
    <row r="70" customFormat="false" ht="42" hidden="false" customHeight="true" outlineLevel="0" collapsed="false">
      <c r="A70" s="2" t="s">
        <v>461</v>
      </c>
      <c r="B70" s="3" t="s">
        <v>424</v>
      </c>
      <c r="C70" s="3" t="s">
        <v>462</v>
      </c>
      <c r="D70" s="3" t="s">
        <v>463</v>
      </c>
      <c r="E70" s="3" t="s">
        <v>315</v>
      </c>
      <c r="F70" s="3" t="s">
        <v>464</v>
      </c>
      <c r="G70" s="3" t="s">
        <v>465</v>
      </c>
      <c r="H70" s="3" t="s">
        <v>466</v>
      </c>
      <c r="I70" s="7" t="s">
        <v>26</v>
      </c>
      <c r="J70" s="2" t="s">
        <v>238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s>
  <sheetData>
    <row r="1" customFormat="false" ht="15" hidden="false" customHeight="false" outlineLevel="0" collapsed="false">
      <c r="A1" s="9" t="s">
        <v>467</v>
      </c>
      <c r="B1" s="9"/>
    </row>
    <row r="2" customFormat="false" ht="15" hidden="false" customHeight="false" outlineLevel="0" collapsed="false">
      <c r="A2" s="10" t="s">
        <v>1</v>
      </c>
      <c r="B2" s="10" t="s">
        <v>468</v>
      </c>
    </row>
    <row r="3" customFormat="false" ht="15" hidden="false" customHeight="false" outlineLevel="0" collapsed="false">
      <c r="A3" s="11" t="s">
        <v>11</v>
      </c>
      <c r="B3" s="12" t="n">
        <f aca="false">COUNTIF('Bảng phân tích chức năng'!$B$2:$B$70,A3)</f>
        <v>5</v>
      </c>
    </row>
    <row r="4" customFormat="false" ht="15" hidden="false" customHeight="false" outlineLevel="0" collapsed="false">
      <c r="A4" s="11" t="s">
        <v>48</v>
      </c>
      <c r="B4" s="12" t="n">
        <f aca="false">COUNTIF('Bảng phân tích chức năng'!$B$2:$B$70,A4)</f>
        <v>7</v>
      </c>
    </row>
    <row r="5" customFormat="false" ht="15" hidden="false" customHeight="false" outlineLevel="0" collapsed="false">
      <c r="A5" s="11" t="s">
        <v>96</v>
      </c>
      <c r="B5" s="12" t="n">
        <f aca="false">COUNTIF('Bảng phân tích chức năng'!$B$2:$B$70,A5)</f>
        <v>6</v>
      </c>
    </row>
    <row r="6" customFormat="false" ht="15" hidden="false" customHeight="false" outlineLevel="0" collapsed="false">
      <c r="A6" s="11" t="s">
        <v>135</v>
      </c>
      <c r="B6" s="12" t="n">
        <f aca="false">COUNTIF('Bảng phân tích chức năng'!$B$2:$B$70,A6)</f>
        <v>12</v>
      </c>
    </row>
    <row r="7" customFormat="false" ht="15" hidden="false" customHeight="false" outlineLevel="0" collapsed="false">
      <c r="A7" s="11" t="s">
        <v>213</v>
      </c>
      <c r="B7" s="12" t="n">
        <f aca="false">COUNTIF('Bảng phân tích chức năng'!$B$2:$B$70,A7)</f>
        <v>5</v>
      </c>
    </row>
    <row r="8" customFormat="false" ht="15" hidden="false" customHeight="false" outlineLevel="0" collapsed="false">
      <c r="A8" s="11" t="s">
        <v>247</v>
      </c>
      <c r="B8" s="12" t="n">
        <f aca="false">COUNTIF('Bảng phân tích chức năng'!$B$2:$B$70,A8)</f>
        <v>6</v>
      </c>
    </row>
    <row r="9" customFormat="false" ht="15" hidden="false" customHeight="false" outlineLevel="0" collapsed="false">
      <c r="A9" s="11" t="s">
        <v>287</v>
      </c>
      <c r="B9" s="12" t="n">
        <f aca="false">COUNTIF('Bảng phân tích chức năng'!$B$2:$B$70,A9)</f>
        <v>6</v>
      </c>
    </row>
    <row r="10" customFormat="false" ht="15" hidden="false" customHeight="false" outlineLevel="0" collapsed="false">
      <c r="A10" s="11" t="s">
        <v>327</v>
      </c>
      <c r="B10" s="12" t="n">
        <f aca="false">COUNTIF('Bảng phân tích chức năng'!$B$2:$B$70,A10)</f>
        <v>5</v>
      </c>
    </row>
    <row r="11" customFormat="false" ht="15" hidden="false" customHeight="false" outlineLevel="0" collapsed="false">
      <c r="A11" s="11" t="s">
        <v>360</v>
      </c>
      <c r="B11" s="12" t="n">
        <f aca="false">COUNTIF('Bảng phân tích chức năng'!$B$2:$B$70,A11)</f>
        <v>5</v>
      </c>
    </row>
    <row r="12" customFormat="false" ht="15" hidden="false" customHeight="false" outlineLevel="0" collapsed="false">
      <c r="A12" s="11" t="s">
        <v>393</v>
      </c>
      <c r="B12" s="12" t="n">
        <f aca="false">COUNTIF('Bảng phân tích chức năng'!$B$2:$B$70,A12)</f>
        <v>5</v>
      </c>
    </row>
    <row r="13" customFormat="false" ht="15" hidden="false" customHeight="false" outlineLevel="0" collapsed="false">
      <c r="A13" s="11" t="s">
        <v>424</v>
      </c>
      <c r="B13" s="12" t="n">
        <f aca="false">COUNTIF('Bảng phân tích chức năng'!$B$2:$B$70,A13)</f>
        <v>7</v>
      </c>
    </row>
    <row r="14" customFormat="false" ht="15" hidden="false" customHeight="false" outlineLevel="0" collapsed="false">
      <c r="A14" s="13" t="s">
        <v>469</v>
      </c>
      <c r="B14" s="14" t="n">
        <f aca="false">SUM(B3:B13)</f>
        <v>69</v>
      </c>
    </row>
    <row r="16" customFormat="false" ht="15" hidden="false" customHeight="false" outlineLevel="0" collapsed="false">
      <c r="A16" s="9" t="s">
        <v>470</v>
      </c>
      <c r="B16" s="9"/>
    </row>
    <row r="17" customFormat="false" ht="15" hidden="false" customHeight="false" outlineLevel="0" collapsed="false">
      <c r="A17" s="10" t="s">
        <v>9</v>
      </c>
      <c r="B17" s="10" t="s">
        <v>468</v>
      </c>
    </row>
    <row r="18" customFormat="false" ht="15" hidden="false" customHeight="false" outlineLevel="0" collapsed="false">
      <c r="A18" s="11" t="s">
        <v>19</v>
      </c>
      <c r="B18" s="12" t="n">
        <f aca="false">COUNTIF('Bảng phân tích chức năng'!$J$2:$J$70,A18)</f>
        <v>29</v>
      </c>
    </row>
    <row r="19" customFormat="false" ht="15" hidden="false" customHeight="false" outlineLevel="0" collapsed="false">
      <c r="A19" s="11" t="s">
        <v>88</v>
      </c>
      <c r="B19" s="12" t="n">
        <f aca="false">COUNTIF('Bảng phân tích chức năng'!$J$2:$J$70,A19)</f>
        <v>34</v>
      </c>
    </row>
    <row r="20" customFormat="false" ht="15" hidden="false" customHeight="false" outlineLevel="0" collapsed="false">
      <c r="A20" s="11" t="s">
        <v>238</v>
      </c>
      <c r="B20" s="12" t="n">
        <f aca="false">COUNTIF('Bảng phân tích chức năng'!$J$2:$J$70,A20)</f>
        <v>6</v>
      </c>
    </row>
    <row r="21" customFormat="false" ht="15" hidden="false" customHeight="false" outlineLevel="0" collapsed="false">
      <c r="A21" s="13" t="s">
        <v>469</v>
      </c>
      <c r="B21" s="14" t="n">
        <f aca="false">SUM(B18:B20)</f>
        <v>69</v>
      </c>
    </row>
    <row r="23" customFormat="false" ht="15" hidden="false" customHeight="false" outlineLevel="0" collapsed="false">
      <c r="A23" s="9" t="s">
        <v>471</v>
      </c>
      <c r="B23" s="9"/>
    </row>
    <row r="24" customFormat="false" ht="15" hidden="false" customHeight="false" outlineLevel="0" collapsed="false">
      <c r="A24" s="10" t="s">
        <v>8</v>
      </c>
      <c r="B24" s="10" t="s">
        <v>468</v>
      </c>
    </row>
    <row r="25" customFormat="false" ht="15" hidden="false" customHeight="false" outlineLevel="0" collapsed="false">
      <c r="A25" s="11" t="s">
        <v>18</v>
      </c>
      <c r="B25" s="12" t="n">
        <f aca="false">COUNTIF('Bảng phân tích chức năng'!$I$2:$I$70,A25)</f>
        <v>43</v>
      </c>
    </row>
    <row r="26" customFormat="false" ht="15" hidden="false" customHeight="false" outlineLevel="0" collapsed="false">
      <c r="A26" s="11" t="s">
        <v>26</v>
      </c>
      <c r="B26" s="12" t="n">
        <f aca="false">COUNTIF('Bảng phân tích chức năng'!$I$2:$I$70,A26)</f>
        <v>20</v>
      </c>
    </row>
    <row r="27" customFormat="false" ht="15" hidden="false" customHeight="false" outlineLevel="0" collapsed="false">
      <c r="A27" s="11" t="s">
        <v>46</v>
      </c>
      <c r="B27" s="12" t="n">
        <f aca="false">COUNTIF('Bảng phân tích chức năng'!$I$2:$I$70,A27)</f>
        <v>6</v>
      </c>
    </row>
    <row r="28" customFormat="false" ht="15" hidden="false" customHeight="false" outlineLevel="0" collapsed="false">
      <c r="A28" s="13" t="s">
        <v>469</v>
      </c>
      <c r="B28" s="14" t="n">
        <f aca="false">SUM(B25:B27)</f>
        <v>69</v>
      </c>
    </row>
    <row r="30" customFormat="false" ht="15" hidden="false" customHeight="false" outlineLevel="0" collapsed="false">
      <c r="A30" s="15" t="s">
        <v>472</v>
      </c>
    </row>
  </sheetData>
  <mergeCells count="3">
    <mergeCell ref="A1:B1"/>
    <mergeCell ref="A16:B16"/>
    <mergeCell ref="A23:B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46"/>
    <col collapsed="false" customWidth="true" hidden="false" outlineLevel="0" max="4" min="4" style="0" width="40"/>
  </cols>
  <sheetData>
    <row r="1" customFormat="false" ht="30" hidden="false" customHeight="true" outlineLevel="0" collapsed="false">
      <c r="A1" s="1" t="s">
        <v>473</v>
      </c>
      <c r="B1" s="1" t="s">
        <v>474</v>
      </c>
      <c r="C1" s="1" t="s">
        <v>475</v>
      </c>
      <c r="D1" s="1" t="s">
        <v>476</v>
      </c>
    </row>
    <row r="2" customFormat="false" ht="69.75" hidden="false" customHeight="true" outlineLevel="0" collapsed="false">
      <c r="A2" s="3" t="s">
        <v>477</v>
      </c>
      <c r="B2" s="3" t="s">
        <v>478</v>
      </c>
      <c r="C2" s="3" t="s">
        <v>479</v>
      </c>
      <c r="D2" s="3" t="s">
        <v>480</v>
      </c>
    </row>
    <row r="3" customFormat="false" ht="69.75" hidden="false" customHeight="true" outlineLevel="0" collapsed="false">
      <c r="A3" s="6" t="s">
        <v>481</v>
      </c>
      <c r="B3" s="6" t="s">
        <v>48</v>
      </c>
      <c r="C3" s="6" t="s">
        <v>482</v>
      </c>
      <c r="D3" s="6" t="s">
        <v>483</v>
      </c>
    </row>
    <row r="4" customFormat="false" ht="69.75" hidden="false" customHeight="true" outlineLevel="0" collapsed="false">
      <c r="A4" s="3" t="s">
        <v>484</v>
      </c>
      <c r="B4" s="3" t="s">
        <v>96</v>
      </c>
      <c r="C4" s="3" t="s">
        <v>485</v>
      </c>
      <c r="D4" s="3" t="s">
        <v>486</v>
      </c>
    </row>
    <row r="5" customFormat="false" ht="69.75" hidden="false" customHeight="true" outlineLevel="0" collapsed="false">
      <c r="A5" s="6" t="s">
        <v>487</v>
      </c>
      <c r="B5" s="6" t="s">
        <v>488</v>
      </c>
      <c r="C5" s="6" t="s">
        <v>489</v>
      </c>
      <c r="D5" s="6" t="s">
        <v>490</v>
      </c>
    </row>
    <row r="6" customFormat="false" ht="69.75" hidden="false" customHeight="true" outlineLevel="0" collapsed="false">
      <c r="A6" s="3" t="s">
        <v>491</v>
      </c>
      <c r="B6" s="3" t="s">
        <v>360</v>
      </c>
      <c r="C6" s="3" t="s">
        <v>492</v>
      </c>
      <c r="D6" s="3" t="s">
        <v>493</v>
      </c>
    </row>
    <row r="8" customFormat="false" ht="15" hidden="false" customHeight="false" outlineLevel="0" collapsed="false">
      <c r="A8" s="15" t="s">
        <v>494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2026-09-09T05:53:02Z</dcterms:created>
  <dc:creator>openpyxl</dc:creator>
  <dc:description/>
  <dc:language>en-US</dc:language>
  <cp:lastModifiedBy/>
  <dcterms:modified xsi:type="dcterms:W3CDTF">2026-09-09T05:53:02Z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